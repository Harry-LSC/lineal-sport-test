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01762227-DC3B-4A59-A6CF-F532DCA4838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G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P8" i="4"/>
  <c r="F10" i="5" s="1"/>
  <c r="F10" i="6" s="1"/>
  <c r="O8" i="4"/>
  <c r="E10" i="5" s="1"/>
  <c r="E10" i="6" s="1"/>
  <c r="M8" i="4"/>
  <c r="C10" i="5" s="1"/>
  <c r="C10" i="6" s="1"/>
  <c r="K8" i="4"/>
  <c r="N8" i="4" s="1"/>
  <c r="D10" i="5" s="1"/>
  <c r="D10" i="6" s="1"/>
  <c r="J8" i="4"/>
  <c r="A8" i="4"/>
  <c r="N7" i="4"/>
  <c r="M7" i="4"/>
  <c r="K7" i="4"/>
  <c r="O7" i="4" s="1"/>
  <c r="O9" i="4" s="1"/>
  <c r="E9" i="5" s="1"/>
  <c r="E9" i="6" s="1"/>
  <c r="J7" i="4"/>
  <c r="L7" i="4" s="1"/>
  <c r="J9" i="4" s="1"/>
  <c r="A7" i="4"/>
  <c r="K6" i="4"/>
  <c r="O6" i="4" s="1"/>
  <c r="E7" i="5" s="1"/>
  <c r="E7" i="6" s="1"/>
  <c r="J6" i="4"/>
  <c r="A6" i="4"/>
  <c r="P5" i="4"/>
  <c r="F5" i="5" s="1"/>
  <c r="F5" i="6" s="1"/>
  <c r="O5" i="4"/>
  <c r="E5" i="5" s="1"/>
  <c r="E5" i="6" s="1"/>
  <c r="M5" i="4"/>
  <c r="C5" i="5" s="1"/>
  <c r="C5" i="6" s="1"/>
  <c r="K5" i="4"/>
  <c r="N5" i="4" s="1"/>
  <c r="D5" i="5" s="1"/>
  <c r="D5" i="6" s="1"/>
  <c r="J5" i="4"/>
  <c r="A5" i="4"/>
  <c r="N4" i="4"/>
  <c r="D4" i="5" s="1"/>
  <c r="D4" i="6" s="1"/>
  <c r="M4" i="4"/>
  <c r="C4" i="5" s="1"/>
  <c r="C4" i="6" s="1"/>
  <c r="K4" i="4"/>
  <c r="P4" i="4" s="1"/>
  <c r="F4" i="5" s="1"/>
  <c r="F4" i="6" s="1"/>
  <c r="J4" i="4"/>
  <c r="L4" i="4" s="1"/>
  <c r="B4" i="5" s="1"/>
  <c r="B4" i="6" s="1"/>
  <c r="A4" i="4"/>
  <c r="K3" i="4"/>
  <c r="N3" i="4" s="1"/>
  <c r="D3" i="5" s="1"/>
  <c r="D3" i="6" s="1"/>
  <c r="J3" i="4"/>
  <c r="A3" i="4"/>
  <c r="K2" i="4"/>
  <c r="N2" i="4" s="1"/>
  <c r="D2" i="5" s="1"/>
  <c r="D2" i="6" s="1"/>
  <c r="J2" i="4"/>
  <c r="A2" i="4"/>
  <c r="O2" i="4" l="1"/>
  <c r="E2" i="5" s="1"/>
  <c r="E2" i="6" s="1"/>
  <c r="P2" i="4"/>
  <c r="F2" i="5" s="1"/>
  <c r="F2" i="6" s="1"/>
  <c r="N9" i="4"/>
  <c r="D9" i="5" s="1"/>
  <c r="D9" i="6" s="1"/>
  <c r="H6" i="5"/>
  <c r="H6" i="6" s="1"/>
  <c r="H2" i="5"/>
  <c r="H2" i="6" s="1"/>
  <c r="M2" i="4"/>
  <c r="C2" i="5" s="1"/>
  <c r="C2" i="6" s="1"/>
  <c r="H4" i="5"/>
  <c r="H4" i="6" s="1"/>
  <c r="M6" i="4"/>
  <c r="C7" i="5" s="1"/>
  <c r="C7" i="6" s="1"/>
  <c r="M9" i="4"/>
  <c r="C9" i="5" s="1"/>
  <c r="C9" i="6" s="1"/>
  <c r="O3" i="4"/>
  <c r="E3" i="5" s="1"/>
  <c r="E3" i="6" s="1"/>
  <c r="L2" i="4"/>
  <c r="B2" i="5" s="1"/>
  <c r="B2" i="6" s="1"/>
  <c r="P3" i="4"/>
  <c r="F3" i="5" s="1"/>
  <c r="F3" i="6" s="1"/>
  <c r="L5" i="4"/>
  <c r="B5" i="5" s="1"/>
  <c r="B5" i="6" s="1"/>
  <c r="P6" i="4"/>
  <c r="F7" i="5" s="1"/>
  <c r="F7" i="6" s="1"/>
  <c r="L8" i="4"/>
  <c r="B10" i="5" s="1"/>
  <c r="B10" i="6" s="1"/>
  <c r="H5" i="5"/>
  <c r="H5" i="6" s="1"/>
  <c r="H7" i="5"/>
  <c r="H7" i="6" s="1"/>
  <c r="G3" i="6"/>
  <c r="G9" i="6"/>
  <c r="G8" i="6"/>
  <c r="O4" i="4"/>
  <c r="E4" i="5" s="1"/>
  <c r="E4" i="6" s="1"/>
  <c r="P7" i="4"/>
  <c r="P9" i="4" s="1"/>
  <c r="F9" i="5" s="1"/>
  <c r="F9" i="6" s="1"/>
  <c r="L9" i="4"/>
  <c r="B9" i="5" s="1"/>
  <c r="B9" i="6" s="1"/>
  <c r="L3" i="4"/>
  <c r="B3" i="5" s="1"/>
  <c r="B3" i="6" s="1"/>
  <c r="L6" i="4"/>
  <c r="B7" i="5" s="1"/>
  <c r="B7" i="6" s="1"/>
  <c r="M3" i="4"/>
  <c r="C3" i="5" s="1"/>
  <c r="C3" i="6" s="1"/>
  <c r="N6" i="4"/>
  <c r="D7" i="5" s="1"/>
  <c r="D7" i="6" s="1"/>
  <c r="G10" i="6"/>
</calcChain>
</file>

<file path=xl/sharedStrings.xml><?xml version="1.0" encoding="utf-8"?>
<sst xmlns="http://schemas.openxmlformats.org/spreadsheetml/2006/main" count="175" uniqueCount="119">
  <si>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</si>
  <si>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</si>
  <si>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</si>
  <si>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</si>
  <si>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</si>
  <si>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</si>
  <si>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</si>
  <si>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</si>
  <si>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</si>
  <si>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</si>
  <si>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</si>
  <si>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</si>
  <si>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</si>
  <si>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</si>
  <si>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</si>
  <si>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</si>
  <si>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</si>
  <si>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</si>
  <si>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</si>
  <si>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</si>
  <si>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</si>
  <si>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</si>
  <si>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</si>
  <si>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</si>
  <si>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</si>
  <si>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</si>
  <si>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</si>
  <si>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</si>
  <si>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</si>
  <si>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</si>
  <si>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</si>
  <si>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</si>
  <si>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</si>
  <si>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</si>
  <si>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</si>
  <si>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</si>
  <si>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</si>
  <si>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</si>
  <si>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</si>
  <si>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</si>
  <si>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</si>
  <si>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</si>
  <si>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</si>
  <si>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</si>
  <si>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</si>
  <si>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</si>
  <si>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</si>
  <si>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</si>
  <si>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</si>
  <si>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</si>
  <si>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</si>
  <si>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</si>
  <si>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</si>
  <si>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</si>
  <si>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</si>
  <si>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</si>
  <si>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</si>
  <si>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</si>
  <si>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</si>
  <si>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</si>
  <si>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</si>
  <si>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</si>
  <si>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</si>
  <si>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</si>
  <si>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</si>
  <si>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</si>
  <si>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</si>
  <si>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</si>
  <si>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</si>
  <si>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</si>
  <si>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</si>
  <si>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</si>
  <si>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</si>
  <si>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</si>
  <si>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</si>
  <si>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</si>
  <si>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</si>
  <si>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</si>
  <si>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</si>
  <si>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</si>
  <si>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</si>
  <si>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</si>
  <si>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</si>
  <si>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</si>
  <si>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</si>
  <si>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</si>
  <si>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</si>
  <si>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</si>
  <si>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</si>
  <si>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</si>
  <si>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</si>
  <si>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</si>
  <si>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</si>
  <si>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</si>
  <si>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</si>
  <si>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</si>
  <si>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</si>
  <si>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</si>
  <si>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</si>
  <si>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</si>
  <si>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</si>
  <si>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</si>
  <si>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</si>
  <si>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</si>
  <si>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</si>
  <si>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</si>
  <si>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</si>
  <si>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</si>
  <si>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</si>
  <si>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</si>
  <si>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</si>
  <si>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</si>
  <si>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</si>
  <si>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</si>
  <si>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</si>
  <si>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</si>
  <si>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</si>
  <si>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</si>
  <si>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outh Africa lost to 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</si>
</sst>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114</v>
      </c>
      <c r="B9" s="3" t="s">
        <v>115</v>
      </c>
      <c r="C9" s="3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G14" sqref="G14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117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63</v>
      </c>
      <c r="G2" t="s">
        <v>61</v>
      </c>
      <c r="H2" t="s">
        <v>118</v>
      </c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result","REVIEW")))))</f>
        <v>Transfer</v>
      </c>
      <c r="L2" s="6" t="str">
        <f t="shared" ref="L2:L33" si="1">IF(B2="","",IF(K2="Transfer",D2,J2))</f>
        <v>Australia</v>
      </c>
      <c r="M2" s="8">
        <f>IF(B2="","",IF(K2="Transfer",C2,VLOOKUP(B2,Baseline!$A$2:$H$10,5,FALSE)))</f>
        <v>46304</v>
      </c>
      <c r="N2" s="6">
        <f>IF(B2="","",IF(K2="Transfer",0,VLOOKUP(B2,Baseline!$A$2:$H$10,6,FALSE)+IF(K2="Defence",1,0)))</f>
        <v>0</v>
      </c>
      <c r="O2" s="6">
        <f>IF(B2="","",VLOOKUP(B2,Baseline!$A$2:$H$10,7,FALSE)+IF(K2="Transfer",1,0))</f>
        <v>173</v>
      </c>
      <c r="P2" s="6">
        <f>IF(B2="","",VLOOKUP(B2,Baseline!$A$2:$H$10,8,FALSE)+IF(K2="Defence",1,0))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MMM-20270624-01</v>
      </c>
      <c r="B3" s="5" t="s">
        <v>32</v>
      </c>
      <c r="C3" s="7">
        <v>46562</v>
      </c>
      <c r="D3" s="5" t="s">
        <v>89</v>
      </c>
      <c r="E3" s="5" t="s">
        <v>90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IF(B3="","",IF(K3="Transfer",C3,IFERROR(LOOKUP(2,1/($B$2:B2=B3),$M$2:M2),VLOOKUP(B3,Baseline!$A$2:$H$10,5,FALSE))))</f>
        <v>46089</v>
      </c>
      <c r="N3" s="6">
        <f>IF(B3="","",IF(K3="Transfer",0,IFERROR(LOOKUP(2,1/($B$2:B2=B3),$N$2:N2),VLOOKUP(B3,Baseline!$A$2:$H$10,6,FALSE))+IF(K3="Defence",1,0)))</f>
        <v>0</v>
      </c>
      <c r="O3" s="6">
        <f>IF(B3="","",IFERROR(LOOKUP(2,1/($B$2:B2=B3),$O$2:O2),VLOOKUP(B3,Baseline!$A$2:$H$10,7,FALSE))+IF(K3="Transfer",1,0))</f>
        <v>8</v>
      </c>
      <c r="P3" s="6">
        <f>IF(B3="","",IFERROR(LOOKUP(2,1/($B$2:B2=B3),$P$2:P2),VLOOKUP(B3,Baseline!$A$2:$H$10,8,FALSE))+IF(K3="Defence",1,0))</f>
        <v>4</v>
      </c>
      <c r="Q3" s="5" t="s">
        <v>91</v>
      </c>
      <c r="R3" s="12">
        <v>46565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92</v>
      </c>
      <c r="E4" s="5" t="s">
        <v>93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IF(B4="","",IF(K4="Transfer",C4,IFERROR(LOOKUP(2,1/($B$2:B3=B4),$M$2:M3),VLOOKUP(B4,Baseline!$A$2:$H$10,5,FALSE))))</f>
        <v>46187</v>
      </c>
      <c r="N4" s="6">
        <f>IF(B4="","",IF(K4="Transfer",0,IFERROR(LOOKUP(2,1/($B$2:B3=B4),$N$2:N3),VLOOKUP(B4,Baseline!$A$2:$H$10,6,FALSE))+IF(K4="Defence",1,0)))</f>
        <v>0</v>
      </c>
      <c r="O4" s="6">
        <f>IF(B4="","",IFERROR(LOOKUP(2,1/($B$2:B3=B4),$O$2:O3),VLOOKUP(B4,Baseline!$A$2:$H$10,7,FALSE))+IF(K4="Transfer",1,0))</f>
        <v>358</v>
      </c>
      <c r="P4" s="6">
        <f>IF(B4="","",IFERROR(LOOKUP(2,1/($B$2:B3=B4),$P$2:P3),VLOOKUP(B4,Baseline!$A$2:$H$10,8,FALSE))+IF(K4="Defence",1,0))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94</v>
      </c>
      <c r="E5" s="5" t="s">
        <v>95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IF(B5="","",IF(K5="Transfer",C5,IFERROR(LOOKUP(2,1/($B$2:B4=B5),$M$2:M4),VLOOKUP(B5,Baseline!$A$2:$H$10,5,FALSE))))</f>
        <v>46077</v>
      </c>
      <c r="N5" s="6">
        <f>IF(B5="","",IF(K5="Transfer",0,IFERROR(LOOKUP(2,1/($B$2:B4=B5),$N$2:N4),VLOOKUP(B5,Baseline!$A$2:$H$10,6,FALSE))+IF(K5="Defence",1,0)))</f>
        <v>5</v>
      </c>
      <c r="O5" s="6">
        <f>IF(B5="","",IFERROR(LOOKUP(2,1/($B$2:B4=B5),$O$2:O4),VLOOKUP(B5,Baseline!$A$2:$H$10,7,FALSE))+IF(K5="Transfer",1,0))</f>
        <v>120</v>
      </c>
      <c r="P5" s="6">
        <f>IF(B5="","",IFERROR(LOOKUP(2,1/($B$2:B4=B5),$P$2:P4),VLOOKUP(B5,Baseline!$A$2:$H$10,8,FALSE))+IF(K5="Defence",1,0))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96</v>
      </c>
      <c r="E6" s="5" t="s">
        <v>97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IF(B6="","",IF(K6="Transfer",C6,IFERROR(LOOKUP(2,1/($B$2:B5=B6),$M$2:M5),VLOOKUP(B6,Baseline!$A$2:$H$10,5,FALSE))))</f>
        <v>46186</v>
      </c>
      <c r="N6" s="6">
        <f>IF(B6="","",IF(K6="Transfer",0,IFERROR(LOOKUP(2,1/($B$2:B5=B6),$N$2:N5),VLOOKUP(B6,Baseline!$A$2:$H$10,6,FALSE))+IF(K6="Defence",1,0)))</f>
        <v>6</v>
      </c>
      <c r="O6" s="6">
        <f>IF(B6="","",IFERROR(LOOKUP(2,1/($B$2:B5=B6),$O$2:O5),VLOOKUP(B6,Baseline!$A$2:$H$10,7,FALSE))+IF(K6="Transfer",1,0))</f>
        <v>76</v>
      </c>
      <c r="P6" s="6">
        <f>IF(B6="","",IFERROR(LOOKUP(2,1/($B$2:B5=B6),$P$2:P5),VLOOKUP(B6,Baseline!$A$2:$H$10,8,FALSE))+IF(K6="Defence",1,0))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98</v>
      </c>
      <c r="E7" s="5"/>
      <c r="F7" s="5" t="s">
        <v>63</v>
      </c>
      <c r="G7" s="5" t="s">
        <v>58</v>
      </c>
      <c r="H7" s="11" t="s">
        <v>99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IF(B7="","",IF(K7="Transfer",C7,IFERROR(LOOKUP(2,1/($B$2:B6=B7),$M$2:M6),VLOOKUP(B7,Baseline!$A$2:$H$10,5,FALSE))))</f>
        <v>46081</v>
      </c>
      <c r="N7" s="6">
        <f>IF(B7="","",IF(K7="Transfer",0,IFERROR(LOOKUP(2,1/($B$2:B6=B7),$N$2:N6),VLOOKUP(B7,Baseline!$A$2:$H$10,6,FALSE))+IF(K7="Defence",1,0)))</f>
        <v>11</v>
      </c>
      <c r="O7" s="6">
        <f>IF(B7="","",IFERROR(LOOKUP(2,1/($B$2:B6=B7),$O$2:O6),VLOOKUP(B7,Baseline!$A$2:$H$10,7,FALSE))+IF(K7="Transfer",1,0))</f>
        <v>681</v>
      </c>
      <c r="P7" s="6">
        <f>IF(B7="","",IFERROR(LOOKUP(2,1/($B$2:B6=B7),$P$2:P6),VLOOKUP(B7,Baseline!$A$2:$H$10,8,FALSE))+IF(K7="Defence",1,0))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100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IF(B8="","",IF(K8="Transfer",C8,IFERROR(LOOKUP(2,1/($B$2:B7=B8),$M$2:M7),VLOOKUP(B8,Baseline!$A$2:$H$10,5,FALSE))))</f>
        <v>45730</v>
      </c>
      <c r="N8" s="6">
        <f>IF(B8="","",IF(K8="Transfer",0,IFERROR(LOOKUP(2,1/($B$2:B7=B8),$N$2:N7),VLOOKUP(B8,Baseline!$A$2:$H$10,6,FALSE))+IF(K8="Defence",1,0)))</f>
        <v>32</v>
      </c>
      <c r="O8" s="6">
        <f>IF(B8="","",IFERROR(LOOKUP(2,1/($B$2:B7=B8),$O$2:O7),VLOOKUP(B8,Baseline!$A$2:$H$10,7,FALSE))+IF(K8="Transfer",1,0))</f>
        <v>113</v>
      </c>
      <c r="P8" s="6">
        <f>IF(B8="","",IFERROR(LOOKUP(2,1/($B$2:B7=B8),$P$2:P7),VLOOKUP(B8,Baseline!$A$2:$H$10,8,FALSE))+IF(K8="Defence",1,0))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101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IF(B9="","",IF(K9="Transfer",C9,IFERROR(LOOKUP(2,1/($B$2:B8=B9),$M$2:M8),VLOOKUP(B9,Baseline!$A$2:$H$10,5,FALSE))))</f>
        <v>46081</v>
      </c>
      <c r="N9" s="6">
        <f>IF(B9="","",IF(K9="Transfer",0,IFERROR(LOOKUP(2,1/($B$2:B8=B9),$N$2:N8),VLOOKUP(B9,Baseline!$A$2:$H$10,6,FALSE))+IF(K9="Defence",1,0)))</f>
        <v>11</v>
      </c>
      <c r="O9" s="6">
        <f>IF(B9="","",IFERROR(LOOKUP(2,1/($B$2:B8=B9),$O$2:O8),VLOOKUP(B9,Baseline!$A$2:$H$10,7,FALSE))+IF(K9="Transfer",1,0))</f>
        <v>681</v>
      </c>
      <c r="P9" s="6">
        <f>IF(B9="","",IFERROR(LOOKUP(2,1/($B$2:B8=B9),$P$2:P8),VLOOKUP(B9,Baseline!$A$2:$H$10,8,FALSE))+IF(K9="Defence",1,0))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102</v>
      </c>
      <c r="C1" s="1" t="s">
        <v>103</v>
      </c>
      <c r="D1" s="1" t="s">
        <v>25</v>
      </c>
      <c r="E1" s="1" t="s">
        <v>26</v>
      </c>
      <c r="F1" s="1" t="s">
        <v>27</v>
      </c>
      <c r="G1" s="1" t="s">
        <v>104</v>
      </c>
      <c r="H1" s="1" t="s">
        <v>105</v>
      </c>
    </row>
    <row r="2" spans="1:8">
      <c r="A2" t="s">
        <v>28</v>
      </c>
      <c r="B2" t="str">
        <f>IFERROR(LOOKUP(2,1/(Updates!$B$2:$B$100=A2),Updates!$L$2:$L$100),VLOOKUP(A2,Baseline!$A$2:$H$10,4,FALSE))</f>
        <v>Australia</v>
      </c>
      <c r="C2" s="4">
        <f>IFERROR(LOOKUP(2,1/(Updates!$B$2:$B$100=A2),Updates!$M$2:$M$100),VLOOKUP(A2,Baseline!$A$2:$H$10,5,FALSE))</f>
        <v>46304</v>
      </c>
      <c r="D2">
        <f>IFERROR(LOOKUP(2,1/(Updates!$B$2:$B$100=A2),Updates!$N$2:$N$100),VLOOKUP(A2,Baseline!$A$2:$H$10,6,FALSE))</f>
        <v>0</v>
      </c>
      <c r="E2">
        <f>IFERROR(LOOKUP(2,1/(Updates!$B$2:$B$100=A2),Updates!$O$2:$O$100),VLOOKUP(A2,Baseline!$A$2:$H$10,7,FALSE))</f>
        <v>173</v>
      </c>
      <c r="F2">
        <f>IFERROR(LOOKUP(2,1/(Updates!$B$2:$B$100=A2),Updates!$P$2:$P$100),VLOOKUP(A2,Baseline!$A$2:$H$10,8,FALSE))</f>
        <v>270</v>
      </c>
      <c r="G2" s="4" t="str">
        <f>IFERROR(LOOKUP(2,1/((Updates!$B$2:$B$100=A2)*(Updates!$F$2:$F$100&lt;&gt;"Completed")*(Updates!$F$2:$F$100&lt;&gt;"Cancelled")*(Updates!$F$2:$F$100&lt;&gt;"Postponed")),Updates!$C$2:$C$100),"TBD")</f>
        <v>TBD</v>
      </c>
      <c r="H2" t="str">
        <f>IF(G2="TBD","TBD",IFERROR(LOOKUP(2,1/((Updates!$B$2:$B$100=A2)*(Updates!$C$2:$C$100=G2)),Updates!$D$2:$D$100),"TBD"))</f>
        <v>TBD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4</v>
      </c>
      <c r="G3" s="4">
        <f>IFERROR(LOOKUP(2,1/((Updates!$B$2:$B$100=A3)*(Updates!$F$2:$F$100&lt;&gt;"Completed")*(Updates!$F$2:$F$100&lt;&gt;"Cancelled")*(Updates!$F$2:$F$100&lt;&gt;"Postponed")),Updates!$C$2:$C$100),"TBD")</f>
        <v>46562</v>
      </c>
      <c r="H3" t="str">
        <f>IF(G3="TBD","TBD",IFERROR(LOOKUP(2,1/((Updates!$B$2:$B$100=A3)*(Updates!$C$2:$C$100=G3)),Updates!$D$2:$D$100),"TBD"))</f>
        <v>England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>
      <c r="A2" t="str">
        <f>Dashboard!A2</f>
        <v>Charles Bannerman Belt</v>
      </c>
      <c r="B2" t="str">
        <f>Dashboard!B2</f>
        <v>Australia</v>
      </c>
      <c r="C2" s="9">
        <f>Dashboard!C2</f>
        <v>46304</v>
      </c>
      <c r="D2">
        <f>Dashboard!D2</f>
        <v>0</v>
      </c>
      <c r="E2">
        <f>Dashboard!E2</f>
        <v>173</v>
      </c>
      <c r="F2">
        <f>Dashboard!F2</f>
        <v>270</v>
      </c>
      <c r="G2" s="9" t="str">
        <f>Dashboard!G2</f>
        <v>TBD</v>
      </c>
      <c r="H2" t="str">
        <f>Dashboard!H2</f>
        <v>TBD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46562</v>
      </c>
      <c r="H3" t="str">
        <f>Dashboard!H3</f>
        <v>England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2026-08-30T17:34:25Z</dcterms:modified>
</cp:coreProperties>
</file>