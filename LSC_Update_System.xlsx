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website\Live Update\"/>
    </mc:Choice>
  </mc:AlternateContent>
  <xr:revisionPtr revIDLastSave="0" documentId="13_ncr:1_{4A115BB4-2237-479F-935E-71B8537758C6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C3" i="5"/>
  <c r="C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K10" i="4"/>
  <c r="P10" i="4" s="1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L8" i="4" s="1"/>
  <c r="B10" i="5" s="1"/>
  <c r="B10" i="6" s="1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P5" i="4"/>
  <c r="F5" i="5" s="1"/>
  <c r="F5" i="6" s="1"/>
  <c r="O5" i="4"/>
  <c r="E5" i="5" s="1"/>
  <c r="E5" i="6" s="1"/>
  <c r="N5" i="4"/>
  <c r="D5" i="5" s="1"/>
  <c r="D5" i="6" s="1"/>
  <c r="M5" i="4"/>
  <c r="C5" i="5" s="1"/>
  <c r="C5" i="6" s="1"/>
  <c r="K5" i="4"/>
  <c r="J5" i="4"/>
  <c r="A5" i="4"/>
  <c r="K4" i="4"/>
  <c r="P4" i="4" s="1"/>
  <c r="J4" i="4"/>
  <c r="A4" i="4"/>
  <c r="M3" i="4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L10" i="4" l="1"/>
  <c r="M10" i="4"/>
  <c r="N10" i="4"/>
  <c r="O10" i="4"/>
  <c r="F4" i="5"/>
  <c r="F4" i="6" s="1"/>
  <c r="L5" i="4"/>
  <c r="B5" i="5" s="1"/>
  <c r="B5" i="6" s="1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L3" i="4"/>
  <c r="B3" i="5" s="1"/>
  <c r="B3" i="6" s="1"/>
  <c r="L6" i="4"/>
  <c r="B7" i="5" s="1"/>
  <c r="B7" i="6" s="1"/>
  <c r="G10" i="6"/>
</calcChain>
</file>

<file path=xl/sharedStrings.xml><?xml version="1.0" encoding="utf-8"?>
<sst xmlns="http://schemas.openxmlformats.org/spreadsheetml/2006/main" count="178" uniqueCount="117">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</sst>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11" sqref="F11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214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57</v>
      </c>
      <c r="G10" s="5"/>
      <c r="H10" s="10"/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Scheduled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1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597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214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1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597</v>
      </c>
      <c r="G4" s="4">
        <f>IFERROR(LOOKUP(2,1/((Updates!$B$2:$B$100=A4)*(Updates!$F$2:$F$100&lt;&gt;"Completed")*(Updates!$F$2:$F$100&lt;&gt;"Cancelled")*(Updates!$F$2:$F$100&lt;&gt;"Postponed")),Updates!$C$2:$C$100),"TBD")</f>
        <v>46283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214</v>
      </c>
      <c r="F2">
        <f>Dashboard!F2</f>
        <v>404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1</v>
      </c>
      <c r="E4">
        <f>Dashboard!E4</f>
        <v>358</v>
      </c>
      <c r="F4">
        <f>Dashboard!F4</f>
        <v>597</v>
      </c>
      <c r="G4" s="9">
        <f>Dashboard!G4</f>
        <v>46283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2026-09-15T15:42:11Z</dcterms:modified>
</cp:coreProperties>
</file>