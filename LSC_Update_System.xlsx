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website\Live Update\"/>
    </mc:Choice>
  </mc:AlternateContent>
  <xr:revisionPtr revIDLastSave="0" documentId="13_ncr:1_{1EA03D3B-9C2B-411F-BD3B-077F4CE5025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K11" i="4"/>
  <c r="M11" i="4" s="1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P11" i="4" l="1"/>
  <c r="O11" i="4"/>
  <c r="N11" i="4"/>
  <c r="L11" i="4"/>
  <c r="L10" i="4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4" i="5" l="1"/>
  <c r="B4" i="6" s="1"/>
</calcChain>
</file>

<file path=xl/sharedStrings.xml><?xml version="1.0" encoding="utf-8"?>
<sst xmlns="http://schemas.openxmlformats.org/spreadsheetml/2006/main" count="190" uniqueCount="120">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</sst>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6" sqref="F16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57</v>
      </c>
      <c r="G12" s="5"/>
      <c r="H12" s="10"/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Scheduled</v>
      </c>
      <c r="L12" s="6" t="str">
        <f t="shared" si="1"/>
        <v>Australia</v>
      </c>
      <c r="M12" s="8">
        <f>IF(B12="","",IF(K12="Transfer",C12,IFERROR(LOOKUP(2,1/($B$2:B11=B12),$M$2:M11),VLOOKUP(B12,Baseline!$A$2:$H$10,5,FALSE))))</f>
        <v>46187</v>
      </c>
      <c r="N12" s="6">
        <f>IF(B12="","",IF(K12="Transfer",0,IFERROR(LOOKUP(2,1/($B$2:B11=B12),$N$2:N11),VLOOKUP(B12,Baseline!$A$2:$H$10,6,FALSE))+IF(K12="Defence",1,0)))</f>
        <v>3</v>
      </c>
      <c r="O12" s="6">
        <f>IF(B12="","",IFERROR(LOOKUP(2,1/($B$2:B11=B12),$O$2:O11),VLOOKUP(B12,Baseline!$A$2:$H$10,7,FALSE))+IF(K12="Transfer",1,0))</f>
        <v>358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3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599</v>
      </c>
      <c r="G4" s="4">
        <f>IFERROR(LOOKUP(2,1/((Updates!$B$2:$B$100=A4)*(Updates!$F$2:$F$100&lt;&gt;"Completed")*(Updates!$F$2:$F$100&lt;&gt;"Cancelled")*(Updates!$F$2:$F$100&lt;&gt;"Postponed")),Updates!$C$2:$C$100),"TBD")</f>
        <v>46289</v>
      </c>
      <c r="H4" t="str">
        <f>IF(G4="TBD","TBD",IFERROR(LOOKUP(2,1/((Updates!$B$2:$B$100=A4)*(Updates!$C$2:$C$100=G4)),Updates!$D$2:$D$100),"TBD"))</f>
        <v>South Africa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3</v>
      </c>
      <c r="E4">
        <f>Dashboard!E4</f>
        <v>358</v>
      </c>
      <c r="F4">
        <f>Dashboard!F4</f>
        <v>599</v>
      </c>
      <c r="G4" s="9">
        <f>Dashboard!G4</f>
        <v>46289</v>
      </c>
      <c r="H4" t="str">
        <f>Dashboard!H4</f>
        <v>South Africa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2026-09-20T16:48:40Z</dcterms:modified>
</cp:coreProperties>
</file>