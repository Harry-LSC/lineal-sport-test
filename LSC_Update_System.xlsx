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24873BCB-2EB7-4561-BE17-C6D4F788A903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K10" i="4"/>
  <c r="P10" i="4" s="1"/>
  <c r="J10" i="4"/>
  <c r="A10" i="4"/>
  <c r="K9" i="4"/>
  <c r="A9" i="4"/>
  <c r="O8" i="4"/>
  <c r="E10" i="5" s="1"/>
  <c r="E10" i="6" s="1"/>
  <c r="K8" i="4"/>
  <c r="P8" i="4" s="1"/>
  <c r="F10" i="5" s="1"/>
  <c r="F10" i="6" s="1"/>
  <c r="J8" i="4"/>
  <c r="A8" i="4"/>
  <c r="K7" i="4"/>
  <c r="P7" i="4" s="1"/>
  <c r="P9" i="4" s="1"/>
  <c r="F9" i="5" s="1"/>
  <c r="F9" i="6" s="1"/>
  <c r="J7" i="4"/>
  <c r="A7" i="4"/>
  <c r="P6" i="4"/>
  <c r="F7" i="5" s="1"/>
  <c r="F7" i="6" s="1"/>
  <c r="O6" i="4"/>
  <c r="E7" i="5" s="1"/>
  <c r="E7" i="6" s="1"/>
  <c r="N6" i="4"/>
  <c r="D7" i="5" s="1"/>
  <c r="D7" i="6" s="1"/>
  <c r="M6" i="4"/>
  <c r="C7" i="5" s="1"/>
  <c r="C7" i="6" s="1"/>
  <c r="K6" i="4"/>
  <c r="J6" i="4"/>
  <c r="L6" i="4" s="1"/>
  <c r="B7" i="5" s="1"/>
  <c r="B7" i="6" s="1"/>
  <c r="A6" i="4"/>
  <c r="O5" i="4"/>
  <c r="E5" i="5" s="1"/>
  <c r="E5" i="6" s="1"/>
  <c r="K5" i="4"/>
  <c r="P5" i="4" s="1"/>
  <c r="F5" i="5" s="1"/>
  <c r="F5" i="6" s="1"/>
  <c r="J5" i="4"/>
  <c r="A5" i="4"/>
  <c r="K4" i="4"/>
  <c r="P4" i="4" s="1"/>
  <c r="F4" i="5" s="1"/>
  <c r="F4" i="6" s="1"/>
  <c r="J4" i="4"/>
  <c r="A4" i="4"/>
  <c r="K3" i="4"/>
  <c r="P3" i="4" s="1"/>
  <c r="J3" i="4"/>
  <c r="A3" i="4"/>
  <c r="O2" i="4"/>
  <c r="E2" i="5" s="1"/>
  <c r="E2" i="6" s="1"/>
  <c r="M2" i="4"/>
  <c r="C2" i="5" s="1"/>
  <c r="C2" i="6" s="1"/>
  <c r="K2" i="4"/>
  <c r="P2" i="4" s="1"/>
  <c r="F2" i="5" s="1"/>
  <c r="F2" i="6" s="1"/>
  <c r="J2" i="4"/>
  <c r="A2" i="4"/>
  <c r="L10" i="4" l="1"/>
  <c r="M10" i="4"/>
  <c r="N10" i="4"/>
  <c r="F3" i="5"/>
  <c r="F3" i="6" s="1"/>
  <c r="O10" i="4"/>
  <c r="H4" i="5"/>
  <c r="H4" i="6" s="1"/>
  <c r="L3" i="4"/>
  <c r="B3" i="5" s="1"/>
  <c r="B3" i="6" s="1"/>
  <c r="M3" i="4"/>
  <c r="C3" i="5" s="1"/>
  <c r="C3" i="6" s="1"/>
  <c r="N3" i="4"/>
  <c r="D3" i="5" s="1"/>
  <c r="D3" i="6" s="1"/>
  <c r="H2" i="5"/>
  <c r="H2" i="6" s="1"/>
  <c r="O3" i="4"/>
  <c r="E3" i="5" s="1"/>
  <c r="E3" i="6" s="1"/>
  <c r="L2" i="4"/>
  <c r="B2" i="5" s="1"/>
  <c r="B2" i="6" s="1"/>
  <c r="L5" i="4"/>
  <c r="B5" i="5" s="1"/>
  <c r="B5" i="6" s="1"/>
  <c r="L8" i="4"/>
  <c r="B10" i="5" s="1"/>
  <c r="B10" i="6" s="1"/>
  <c r="H5" i="5"/>
  <c r="H5" i="6" s="1"/>
  <c r="M5" i="4"/>
  <c r="C5" i="5" s="1"/>
  <c r="C5" i="6" s="1"/>
  <c r="M8" i="4"/>
  <c r="C10" i="5" s="1"/>
  <c r="C10" i="6" s="1"/>
  <c r="N2" i="4"/>
  <c r="D2" i="5" s="1"/>
  <c r="D2" i="6" s="1"/>
  <c r="N5" i="4"/>
  <c r="D5" i="5" s="1"/>
  <c r="D5" i="6" s="1"/>
  <c r="N8" i="4"/>
  <c r="D10" i="5" s="1"/>
  <c r="D10" i="6" s="1"/>
  <c r="H7" i="5"/>
  <c r="H7" i="6" s="1"/>
  <c r="G3" i="6"/>
  <c r="G6" i="6"/>
  <c r="G9" i="6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N4" i="4"/>
  <c r="D4" i="5" s="1"/>
  <c r="D4" i="6" s="1"/>
  <c r="G8" i="6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<sst xmlns="http://schemas.openxmlformats.org/spreadsheetml/2006/main" count="180" uniqueCount="121">
  <si>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</si>
  <si>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</si>
  <si>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</si>
  <si>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</si>
  <si>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</si>
  <si>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</si>
  <si>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</si>
  <si>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</si>
  <si>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</si>
  <si>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</si>
  <si>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</si>
  <si>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</si>
  <si>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</si>
  <si>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</si>
  <si>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</si>
  <si>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</si>
  <si>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</si>
  <si>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</si>
  <si>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</si>
  <si>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</si>
  <si>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</si>
  <si>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</si>
  <si>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</si>
  <si>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</si>
  <si>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</si>
  <si>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</si>
  <si>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</si>
  <si>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</si>
  <si>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</si>
  <si>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</si>
  <si>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</si>
  <si>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</si>
  <si>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</si>
  <si>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</si>
  <si>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</si>
  <si>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</si>
  <si>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</si>
  <si>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</si>
  <si>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</si>
  <si>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</si>
  <si>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</si>
  <si>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</si>
  <si>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</si>
  <si>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</si>
  <si>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</si>
  <si>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</si>
  <si>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</si>
  <si>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</si>
  <si>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</si>
  <si>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</si>
  <si>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</si>
  <si>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</si>
  <si>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</si>
  <si>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</si>
  <si>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</si>
  <si>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</si>
  <si>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</si>
  <si>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</si>
  <si>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</si>
  <si>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</si>
  <si>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</si>
  <si>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</si>
  <si>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</si>
  <si>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</si>
  <si>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</si>
  <si>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</si>
  <si>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</si>
  <si>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</si>
  <si>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</si>
  <si>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</si>
  <si>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</si>
  <si>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</si>
  <si>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</si>
  <si>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</si>
  <si>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</si>
  <si>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</si>
  <si>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</si>
  <si>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</si>
  <si>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</si>
  <si>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</si>
  <si>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</si>
  <si>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</si>
  <si>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</si>
  <si>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</si>
  <si>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</si>
  <si>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</si>
  <si>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</si>
  <si>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</si>
  <si>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</si>
  <si>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</si>
  <si>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</si>
  <si>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</si>
  <si>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</si>
  <si>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</si>
  <si>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</si>
  <si>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</si>
  <si>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</si>
  <si>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</si>
  <si>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</si>
  <si>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</si>
  <si>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</si>
  <si>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</si>
  <si>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</si>
  <si>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</si>
  <si>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</si>
  <si>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</si>
  <si>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</si>
  <si>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</si>
  <si>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</si>
  <si>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</si>
  <si>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</si>
  <si>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</si>
  <si>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</si>
  <si>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</si>
  <si>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</si>
  <si>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</si>
  <si>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</si>
  <si>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</si>
  <si>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England beat Australia by 5 wickets</t>
  </si>
  <si>
    <t>India</t>
  </si>
  <si>
    <t>England beat India by 4 wickets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</si>
</sst>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114</v>
      </c>
      <c r="B9" s="3" t="s">
        <v>115</v>
      </c>
      <c r="C9" s="3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E19" sqref="E19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117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172</v>
      </c>
      <c r="P2" s="6">
        <f>IF(B2="","",IF(K2="INVALID — CHECK RESULT TYPE","",VLOOKUP(B2,Baseline!$A$2:$H$10,8,FALSE)+IF(K2="Defence",1,0)))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MMM-20270624-01</v>
      </c>
      <c r="B3" s="5" t="s">
        <v>32</v>
      </c>
      <c r="C3" s="7">
        <v>46562</v>
      </c>
      <c r="D3" s="5" t="s">
        <v>89</v>
      </c>
      <c r="E3" s="5" t="s">
        <v>90</v>
      </c>
      <c r="F3" s="5" t="s">
        <v>63</v>
      </c>
      <c r="G3" s="5" t="s">
        <v>61</v>
      </c>
      <c r="H3" t="s">
        <v>118</v>
      </c>
      <c r="I3" s="5"/>
      <c r="J3" s="6" t="str">
        <f>IF(B3="","",IFERROR(LOOKUP(2,1/($B$2:B2=B3),$L$2:L2),VLOOKUP(B3,Baseline!$A$2:$H$10,4,FALSE)))</f>
        <v>Australia</v>
      </c>
      <c r="K3" s="6" t="str">
        <f t="shared" si="0"/>
        <v>Transfer</v>
      </c>
      <c r="L3" s="6" t="str">
        <f t="shared" si="1"/>
        <v>England</v>
      </c>
      <c r="M3" s="8">
        <f>IF(B3="","",IF(K3="INVALID — CHECK RESULT TYPE","",IF(K3="Transfer",IF(R3&lt;&gt;"",R3,C3),IFERROR(LOOKUP(2,1/($B$2:B2=B3),$M$2:M2),VLOOKUP(B3,Baseline!$A$2:$H$10,5,FALSE)))))</f>
        <v>46565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9</v>
      </c>
      <c r="P3" s="6">
        <f>IF(B3="","",IF(K3="INVALID — CHECK RESULT TYPE","",IFERROR(LOOKUP(2,1/($B$2:B2=B3),$P$2:P2),VLOOKUP(B3,Baseline!$A$2:$H$10,8,FALSE))+IF(K3="Defence",1,0)))</f>
        <v>4</v>
      </c>
      <c r="Q3" s="5" t="s">
        <v>91</v>
      </c>
      <c r="R3" s="12">
        <v>46565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92</v>
      </c>
      <c r="E4" s="5" t="s">
        <v>93</v>
      </c>
      <c r="F4" s="5" t="s">
        <v>57</v>
      </c>
      <c r="G4" s="5"/>
      <c r="H4" s="10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0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94</v>
      </c>
      <c r="E5" s="5" t="s">
        <v>95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96</v>
      </c>
      <c r="E6" s="5" t="s">
        <v>97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98</v>
      </c>
      <c r="E7" s="5"/>
      <c r="F7" s="5" t="s">
        <v>63</v>
      </c>
      <c r="G7" s="5" t="s">
        <v>58</v>
      </c>
      <c r="H7" s="11" t="s">
        <v>99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100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101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MMM-20270630-01</v>
      </c>
      <c r="B10" s="5" t="s">
        <v>32</v>
      </c>
      <c r="C10" s="7">
        <v>46568</v>
      </c>
      <c r="D10" s="5" t="s">
        <v>119</v>
      </c>
      <c r="E10" s="5"/>
      <c r="F10" s="5" t="s">
        <v>63</v>
      </c>
      <c r="G10" s="5" t="s">
        <v>58</v>
      </c>
      <c r="H10" s="10" t="s">
        <v>120</v>
      </c>
      <c r="I10" s="5"/>
      <c r="J10" s="6" t="str">
        <f>IF(B10="","",IFERROR(LOOKUP(2,1/($B$2:B9=B10),$L$2:L9),VLOOKUP(B10,Baseline!$A$2:$H$10,4,FALSE)))</f>
        <v>England</v>
      </c>
      <c r="K10" s="6" t="str">
        <f t="shared" si="0"/>
        <v>Defence</v>
      </c>
      <c r="L10" s="6" t="str">
        <f t="shared" si="1"/>
        <v>England</v>
      </c>
      <c r="M10" s="8">
        <f>IF(B10="","",IF(K10="Transfer",C10,IFERROR(LOOKUP(2,1/($B$2:B9=B10),$M$2:M9),VLOOKUP(B10,Baseline!$A$2:$H$10,5,FALSE))))</f>
        <v>46565</v>
      </c>
      <c r="N10" s="6">
        <f>IF(B10="","",IF(K10="Transfer",0,IFERROR(LOOKUP(2,1/($B$2:B9=B10),$N$2:N9),VLOOKUP(B10,Baseline!$A$2:$H$10,6,FALSE))+IF(K10="Defence",1,0)))</f>
        <v>1</v>
      </c>
      <c r="O10" s="6">
        <f>IF(B10="","",IFERROR(LOOKUP(2,1/($B$2:B9=B10),$O$2:O9),VLOOKUP(B10,Baseline!$A$2:$H$10,7,FALSE))+IF(K10="Transfer",1,0))</f>
        <v>9</v>
      </c>
      <c r="P10" s="6">
        <f>IF(B10="","",IFERROR(LOOKUP(2,1/($B$2:B9=B10),$P$2:P9),VLOOKUP(B10,Baseline!$A$2:$H$10,8,FALSE))+IF(K10="Defence",1,0))</f>
        <v>5</v>
      </c>
      <c r="Q10" s="5"/>
      <c r="R10" s="12">
        <v>46571</v>
      </c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102</v>
      </c>
      <c r="C1" s="1" t="s">
        <v>103</v>
      </c>
      <c r="D1" s="1" t="s">
        <v>25</v>
      </c>
      <c r="E1" s="1" t="s">
        <v>26</v>
      </c>
      <c r="F1" s="1" t="s">
        <v>27</v>
      </c>
      <c r="G1" s="1" t="s">
        <v>104</v>
      </c>
      <c r="H1" s="1" t="s">
        <v>105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172</v>
      </c>
      <c r="F2">
        <f>IFERROR(LOOKUP(2,1/(Updates!$B$2:$B$100=A2),Updates!$P$2:$P$100),VLOOKUP(A2,Baseline!$A$2:$H$10,8,FALSE))</f>
        <v>270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England</v>
      </c>
      <c r="C3" s="4">
        <f>IFERROR(LOOKUP(2,1/(Updates!$B$2:$B$100=A3),Updates!$M$2:$M$100),VLOOKUP(A3,Baseline!$A$2:$H$10,5,FALSE))</f>
        <v>46565</v>
      </c>
      <c r="D3">
        <f>IFERROR(LOOKUP(2,1/(Updates!$B$2:$B$100=A3),Updates!$N$2:$N$100),VLOOKUP(A3,Baseline!$A$2:$H$10,6,FALSE))</f>
        <v>1</v>
      </c>
      <c r="E3">
        <f>IFERROR(LOOKUP(2,1/(Updates!$B$2:$B$100=A3),Updates!$O$2:$O$100),VLOOKUP(A3,Baseline!$A$2:$H$10,7,FALSE))</f>
        <v>9</v>
      </c>
      <c r="F3">
        <f>IFERROR(LOOKUP(2,1/(Updates!$B$2:$B$100=A3),Updates!$P$2:$P$100),VLOOKUP(A3,Baseline!$A$2:$H$10,8,FALSE))</f>
        <v>5</v>
      </c>
      <c r="G3" s="4" t="str">
        <f>IFERROR(LOOKUP(2,1/((Updates!$B$2:$B$100=A3)*(Updates!$F$2:$F$100&lt;&gt;"Completed")*(Updates!$F$2:$F$100&lt;&gt;"Cancelled")*(Updates!$F$2:$F$100&lt;&gt;"Postponed")),Updates!$C$2:$C$100),"TBD")</f>
        <v>TBD</v>
      </c>
      <c r="H3" t="str">
        <f>IF(G3="TBD","TBD",IFERROR(LOOKUP(2,1/((Updates!$B$2:$B$100=A3)*(Updates!$C$2:$C$100=G3)),Updates!$D$2:$D$100),"TBD"))</f>
        <v>TBD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596</v>
      </c>
      <c r="G4" s="4">
        <f>IFERROR(LOOKUP(2,1/((Updates!$B$2:$B$100=A4)*(Updates!$F$2:$F$100&lt;&gt;"Completed")*(Updates!$F$2:$F$100&lt;&gt;"Cancelled")*(Updates!$F$2:$F$100&lt;&gt;"Postponed")),Updates!$C$2:$C$100),"TBD")</f>
        <v>46280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England</v>
      </c>
      <c r="C3" s="9">
        <f>Dashboard!C3</f>
        <v>46565</v>
      </c>
      <c r="D3">
        <f>Dashboard!D3</f>
        <v>1</v>
      </c>
      <c r="E3">
        <f>Dashboard!E3</f>
        <v>9</v>
      </c>
      <c r="F3">
        <f>Dashboard!F3</f>
        <v>5</v>
      </c>
      <c r="G3" s="9" t="str">
        <f>Dashboard!G3</f>
        <v>TBD</v>
      </c>
      <c r="H3" t="str">
        <f>Dashboard!H3</f>
        <v>TBD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2026-08-30T19:13:22Z</dcterms:modified>
</cp:coreProperties>
</file>