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E8A0F1A8-18D3-435C-9D7F-5B2808EE1C4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O8" i="4"/>
  <c r="E10" i="5" s="1"/>
  <c r="E10" i="6" s="1"/>
  <c r="K8" i="4"/>
  <c r="P8" i="4" s="1"/>
  <c r="F10" i="5" s="1"/>
  <c r="F10" i="6" s="1"/>
  <c r="J8" i="4"/>
  <c r="A8" i="4"/>
  <c r="K7" i="4"/>
  <c r="P7" i="4" s="1"/>
  <c r="P9" i="4" s="1"/>
  <c r="F9" i="5" s="1"/>
  <c r="F9" i="6" s="1"/>
  <c r="J7" i="4"/>
  <c r="A7" i="4"/>
  <c r="P6" i="4"/>
  <c r="F7" i="5" s="1"/>
  <c r="F7" i="6" s="1"/>
  <c r="O6" i="4"/>
  <c r="E7" i="5" s="1"/>
  <c r="E7" i="6" s="1"/>
  <c r="N6" i="4"/>
  <c r="D7" i="5" s="1"/>
  <c r="D7" i="6" s="1"/>
  <c r="K6" i="4"/>
  <c r="M6" i="4" s="1"/>
  <c r="C7" i="5" s="1"/>
  <c r="C7" i="6" s="1"/>
  <c r="J6" i="4"/>
  <c r="L6" i="4" s="1"/>
  <c r="B7" i="5" s="1"/>
  <c r="B7" i="6" s="1"/>
  <c r="A6" i="4"/>
  <c r="K5" i="4"/>
  <c r="P5" i="4" s="1"/>
  <c r="F5" i="5" s="1"/>
  <c r="F5" i="6" s="1"/>
  <c r="J5" i="4"/>
  <c r="A5" i="4"/>
  <c r="K4" i="4"/>
  <c r="P4" i="4" s="1"/>
  <c r="F4" i="5" s="1"/>
  <c r="F4" i="6" s="1"/>
  <c r="J4" i="4"/>
  <c r="A4" i="4"/>
  <c r="K3" i="4"/>
  <c r="P3" i="4" s="1"/>
  <c r="J3" i="4"/>
  <c r="A3" i="4"/>
  <c r="O2" i="4"/>
  <c r="E2" i="5" s="1"/>
  <c r="E2" i="6" s="1"/>
  <c r="M2" i="4"/>
  <c r="C2" i="5" s="1"/>
  <c r="C2" i="6" s="1"/>
  <c r="K2" i="4"/>
  <c r="P2" i="4" s="1"/>
  <c r="F2" i="5" s="1"/>
  <c r="F2" i="6" s="1"/>
  <c r="J2" i="4"/>
  <c r="A2" i="4"/>
  <c r="O5" i="4" l="1"/>
  <c r="E5" i="5" s="1"/>
  <c r="E5" i="6" s="1"/>
  <c r="F3" i="5"/>
  <c r="F3" i="6" s="1"/>
  <c r="H4" i="5"/>
  <c r="H4" i="6" s="1"/>
  <c r="L3" i="4"/>
  <c r="B3" i="5" s="1"/>
  <c r="B3" i="6" s="1"/>
  <c r="M3" i="4"/>
  <c r="C3" i="5" s="1"/>
  <c r="C3" i="6" s="1"/>
  <c r="N3" i="4"/>
  <c r="D3" i="5" s="1"/>
  <c r="D3" i="6" s="1"/>
  <c r="H2" i="5"/>
  <c r="H2" i="6" s="1"/>
  <c r="O3" i="4"/>
  <c r="E3" i="5" s="1"/>
  <c r="E3" i="6" s="1"/>
  <c r="L2" i="4"/>
  <c r="B2" i="5" s="1"/>
  <c r="B2" i="6" s="1"/>
  <c r="L5" i="4"/>
  <c r="B5" i="5" s="1"/>
  <c r="B5" i="6" s="1"/>
  <c r="L8" i="4"/>
  <c r="B10" i="5" s="1"/>
  <c r="B10" i="6" s="1"/>
  <c r="H5" i="5"/>
  <c r="H5" i="6" s="1"/>
  <c r="M5" i="4"/>
  <c r="C5" i="5" s="1"/>
  <c r="C5" i="6" s="1"/>
  <c r="M8" i="4"/>
  <c r="C10" i="5" s="1"/>
  <c r="C10" i="6" s="1"/>
  <c r="N2" i="4"/>
  <c r="D2" i="5" s="1"/>
  <c r="D2" i="6" s="1"/>
  <c r="N5" i="4"/>
  <c r="D5" i="5" s="1"/>
  <c r="D5" i="6" s="1"/>
  <c r="N8" i="4"/>
  <c r="D10" i="5" s="1"/>
  <c r="D10" i="6" s="1"/>
  <c r="H7" i="5"/>
  <c r="H7" i="6" s="1"/>
  <c r="G3" i="6"/>
  <c r="G6" i="6"/>
  <c r="G9" i="6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N4" i="4"/>
  <c r="D4" i="5" s="1"/>
  <c r="D4" i="6" s="1"/>
  <c r="G8" i="6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<sst xmlns="http://schemas.openxmlformats.org/spreadsheetml/2006/main" count="175" uniqueCount="118">
  <si>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</si>
  <si>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</si>
  <si>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</si>
  <si>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</si>
  <si>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</si>
  <si>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</si>
  <si>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</si>
  <si>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</si>
  <si>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</si>
  <si>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</si>
  <si>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</si>
  <si>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</si>
  <si>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</si>
  <si>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</si>
  <si>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</si>
  <si>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</si>
  <si>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</si>
  <si>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</si>
  <si>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</si>
  <si>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</si>
  <si>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</si>
  <si>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</si>
  <si>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</si>
  <si>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</si>
  <si>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</si>
  <si>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</si>
  <si>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</si>
  <si>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</si>
  <si>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</si>
  <si>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</si>
  <si>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</si>
  <si>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</si>
  <si>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</si>
  <si>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</si>
  <si>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</si>
  <si>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</si>
  <si>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</si>
  <si>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</si>
  <si>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</si>
  <si>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</si>
  <si>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</si>
  <si>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</si>
  <si>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</si>
  <si>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</si>
  <si>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</si>
  <si>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</si>
  <si>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</si>
  <si>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</si>
  <si>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</si>
  <si>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</si>
  <si>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</si>
  <si>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</si>
  <si>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</si>
  <si>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</si>
  <si>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</si>
  <si>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</si>
  <si>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</si>
  <si>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</si>
  <si>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</si>
  <si>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</si>
  <si>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</si>
  <si>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</si>
  <si>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</si>
  <si>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</si>
  <si>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</si>
  <si>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</si>
  <si>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</si>
  <si>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</si>
  <si>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</si>
  <si>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</si>
  <si>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</si>
  <si>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</si>
  <si>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</si>
  <si>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</si>
  <si>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</si>
  <si>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</si>
  <si>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</si>
  <si>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</si>
  <si>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</si>
  <si>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</si>
  <si>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</si>
  <si>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</si>
  <si>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</si>
  <si>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</si>
  <si>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</si>
  <si>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</si>
  <si>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</si>
  <si>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</si>
  <si>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</si>
  <si>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</si>
  <si>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</si>
  <si>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</si>
  <si>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</si>
  <si>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</si>
  <si>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</si>
  <si>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</si>
  <si>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</si>
  <si>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</si>
  <si>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</si>
  <si>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</si>
  <si>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</si>
  <si>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</si>
  <si>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</si>
  <si>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</si>
  <si>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</si>
  <si>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</si>
  <si>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</si>
  <si>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</si>
  <si>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</si>
  <si>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</si>
  <si>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</si>
  <si>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</si>
  <si>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</si>
  <si>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</si>
  <si>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</si>
  <si>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</si>
  <si>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Senwes Park, Potchesfstroom</t>
  </si>
  <si>
    <t>Australia win by 10 wickets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</si>
</sst>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112</v>
      </c>
      <c r="B9" s="3" t="s">
        <v>113</v>
      </c>
      <c r="C9" s="3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99"/>
  <sheetViews>
    <sheetView tabSelected="1" workbookViewId="0">
      <selection activeCell="H17" sqref="H17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115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2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2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172</v>
      </c>
      <c r="P2" s="6">
        <f>IF(B2="","",IF(K2="INVALID — CHECK RESULT TYPE","",VLOOKUP(B2,Baseline!$A$2:$H$10,8,FALSE)+IF(K2="Defence",1,0)))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116</v>
      </c>
      <c r="F3" s="5" t="s">
        <v>57</v>
      </c>
      <c r="G3" s="5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4</v>
      </c>
      <c r="Q3" s="5" t="s">
        <v>89</v>
      </c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90</v>
      </c>
      <c r="E4" s="5" t="s">
        <v>91</v>
      </c>
      <c r="F4" s="5" t="s">
        <v>63</v>
      </c>
      <c r="G4" s="5" t="s">
        <v>58</v>
      </c>
      <c r="H4" s="10" t="s">
        <v>117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Defence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1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597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92</v>
      </c>
      <c r="E5" s="5" t="s">
        <v>93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94</v>
      </c>
      <c r="E6" s="5" t="s">
        <v>95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96</v>
      </c>
      <c r="E7" s="5"/>
      <c r="F7" s="5" t="s">
        <v>63</v>
      </c>
      <c r="G7" s="5" t="s">
        <v>58</v>
      </c>
      <c r="H7" s="11" t="s">
        <v>97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98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99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ref="K33:K64" si="2">IF(B33="","",IF(F33&lt;&gt;"Completed",F33,IF(G33="Challenger win","Transfer",IF(OR(G33="Holder win",G33="Draw / tie"),"Defence",IF(G33="No result","No result","REVIEW")))))</f>
        <v/>
      </c>
      <c r="L33" s="6" t="str">
        <f t="shared" ref="L33:L64" si="3">IF(B33="","",IF(K33="Transfer",D33,J33))</f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si="2"/>
        <v/>
      </c>
      <c r="L34" s="6" t="str">
        <f t="shared" si="3"/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ref="K65:K99" si="4">IF(B65="","",IF(F65&lt;&gt;"Completed",F65,IF(G65="Challenger win","Transfer",IF(OR(G65="Holder win",G65="Draw / tie"),"Defence",IF(G65="No result","No result","REVIEW")))))</f>
        <v/>
      </c>
      <c r="L65" s="6" t="str">
        <f t="shared" ref="L65:L96" si="5">IF(B65="","",IF(K65="Transfer",D65,J65))</f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si="4"/>
        <v/>
      </c>
      <c r="L66" s="6" t="str">
        <f t="shared" si="5"/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ref="L97:L99" si="6">IF(B97="","",IF(K97="Transfer",D97,J97))</f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si="6"/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</sheetData>
  <conditionalFormatting sqref="K2:K99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F2:F99</xm:sqref>
        </x14:dataValidation>
        <x14:dataValidation type="list" xr:uid="{00000000-0002-0000-0300-000001000000}">
          <x14:formula1>
            <xm:f>Lists!$E$2:$E$5</xm:f>
          </x14:formula1>
          <xm:sqref>G2:G99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100</v>
      </c>
      <c r="C1" s="1" t="s">
        <v>101</v>
      </c>
      <c r="D1" s="1" t="s">
        <v>25</v>
      </c>
      <c r="E1" s="1" t="s">
        <v>26</v>
      </c>
      <c r="F1" s="1" t="s">
        <v>27</v>
      </c>
      <c r="G1" s="1" t="s">
        <v>102</v>
      </c>
      <c r="H1" s="1" t="s">
        <v>103</v>
      </c>
    </row>
    <row r="2" spans="1:8">
      <c r="A2" t="s">
        <v>28</v>
      </c>
      <c r="B2" t="str">
        <f>IFERROR(LOOKUP(2,1/(Updates!$B$2:$B$99=A2),Updates!$L$2:$L$99),VLOOKUP(A2,Baseline!$A$2:$H$10,4,FALSE))</f>
        <v>South Africa</v>
      </c>
      <c r="C2" s="4">
        <f>IFERROR(LOOKUP(2,1/(Updates!$B$2:$B$99=A2),Updates!$M$2:$M$99),VLOOKUP(A2,Baseline!$A$2:$H$10,5,FALSE))</f>
        <v>45953</v>
      </c>
      <c r="D2">
        <f>IFERROR(LOOKUP(2,1/(Updates!$B$2:$B$99=A2),Updates!$N$2:$N$99),VLOOKUP(A2,Baseline!$A$2:$H$10,6,FALSE))</f>
        <v>2</v>
      </c>
      <c r="E2">
        <f>IFERROR(LOOKUP(2,1/(Updates!$B$2:$B$99=A2),Updates!$O$2:$O$99),VLOOKUP(A2,Baseline!$A$2:$H$10,7,FALSE))</f>
        <v>172</v>
      </c>
      <c r="F2">
        <f>IFERROR(LOOKUP(2,1/(Updates!$B$2:$B$99=A2),Updates!$P$2:$P$99),VLOOKUP(A2,Baseline!$A$2:$H$10,8,FALSE))</f>
        <v>270</v>
      </c>
      <c r="G2" s="4">
        <f>IFERROR(LOOKUP(2,1/((Updates!$B$2:$B$99=A2)*(Updates!$F$2:$F$99&lt;&gt;"Completed")*(Updates!$F$2:$F$99&lt;&gt;"Cancelled")*(Updates!$F$2:$F$99&lt;&gt;"Postponed")),Updates!$C$2:$C$99),"TBD")</f>
        <v>46304</v>
      </c>
      <c r="H2" t="str">
        <f>IF(G2="TBD","TBD",IFERROR(LOOKUP(2,1/((Updates!$B$2:$B$99=A2)*(Updates!$C$2:$C$99=G2)),Updates!$D$2:$D$99),"TBD"))</f>
        <v>Australia</v>
      </c>
    </row>
    <row r="3" spans="1:8">
      <c r="A3" t="s">
        <v>32</v>
      </c>
      <c r="B3" t="str">
        <f>IFERROR(LOOKUP(2,1/(Updates!$B$2:$B$99=A3),Updates!$L$2:$L$99),VLOOKUP(A3,Baseline!$A$2:$H$10,4,FALSE))</f>
        <v>Australia</v>
      </c>
      <c r="C3" s="4">
        <f>IFERROR(LOOKUP(2,1/(Updates!$B$2:$B$99=A3),Updates!$M$2:$M$99),VLOOKUP(A3,Baseline!$A$2:$H$10,5,FALSE))</f>
        <v>46089</v>
      </c>
      <c r="D3">
        <f>IFERROR(LOOKUP(2,1/(Updates!$B$2:$B$99=A3),Updates!$N$2:$N$99),VLOOKUP(A3,Baseline!$A$2:$H$10,6,FALSE))</f>
        <v>0</v>
      </c>
      <c r="E3">
        <f>IFERROR(LOOKUP(2,1/(Updates!$B$2:$B$99=A3),Updates!$O$2:$O$99),VLOOKUP(A3,Baseline!$A$2:$H$10,7,FALSE))</f>
        <v>8</v>
      </c>
      <c r="F3">
        <f>IFERROR(LOOKUP(2,1/(Updates!$B$2:$B$99=A3),Updates!$P$2:$P$99),VLOOKUP(A3,Baseline!$A$2:$H$10,8,FALSE))</f>
        <v>4</v>
      </c>
      <c r="G3" s="4">
        <f>IFERROR(LOOKUP(2,1/((Updates!$B$2:$B$99=A3)*(Updates!$F$2:$F$99&lt;&gt;"Completed")*(Updates!$F$2:$F$99&lt;&gt;"Cancelled")*(Updates!$F$2:$F$99&lt;&gt;"Postponed")),Updates!$C$2:$C$99),"TBD")</f>
        <v>46485</v>
      </c>
      <c r="H3" t="str">
        <f>IF(G3="TBD","TBD",IFERROR(LOOKUP(2,1/((Updates!$B$2:$B$99=A3)*(Updates!$C$2:$C$99=G3)),Updates!$D$2:$D$99),"TBD"))</f>
        <v>South Africa</v>
      </c>
    </row>
    <row r="4" spans="1:8">
      <c r="A4" t="s">
        <v>35</v>
      </c>
      <c r="B4" t="str">
        <f>IFERROR(LOOKUP(2,1/(Updates!$B$2:$B$99=A4),Updates!$L$2:$L$99),VLOOKUP(A4,Baseline!$A$2:$H$10,4,FALSE))</f>
        <v>Australia</v>
      </c>
      <c r="C4" s="4">
        <f>IFERROR(LOOKUP(2,1/(Updates!$B$2:$B$99=A4),Updates!$M$2:$M$99),VLOOKUP(A4,Baseline!$A$2:$H$10,5,FALSE))</f>
        <v>46187</v>
      </c>
      <c r="D4">
        <f>IFERROR(LOOKUP(2,1/(Updates!$B$2:$B$99=A4),Updates!$N$2:$N$99),VLOOKUP(A4,Baseline!$A$2:$H$10,6,FALSE))</f>
        <v>1</v>
      </c>
      <c r="E4">
        <f>IFERROR(LOOKUP(2,1/(Updates!$B$2:$B$99=A4),Updates!$O$2:$O$99),VLOOKUP(A4,Baseline!$A$2:$H$10,7,FALSE))</f>
        <v>358</v>
      </c>
      <c r="F4">
        <f>IFERROR(LOOKUP(2,1/(Updates!$B$2:$B$99=A4),Updates!$P$2:$P$99),VLOOKUP(A4,Baseline!$A$2:$H$10,8,FALSE))</f>
        <v>597</v>
      </c>
      <c r="G4" s="4" t="str">
        <f>IFERROR(LOOKUP(2,1/((Updates!$B$2:$B$99=A4)*(Updates!$F$2:$F$99&lt;&gt;"Completed")*(Updates!$F$2:$F$99&lt;&gt;"Cancelled")*(Updates!$F$2:$F$99&lt;&gt;"Postponed")),Updates!$C$2:$C$99),"TBD")</f>
        <v>TBD</v>
      </c>
      <c r="H4" t="str">
        <f>IF(G4="TBD","TBD",IFERROR(LOOKUP(2,1/((Updates!$B$2:$B$99=A4)*(Updates!$C$2:$C$99=G4)),Updates!$D$2:$D$99),"TBD"))</f>
        <v>TBD</v>
      </c>
    </row>
    <row r="5" spans="1:8">
      <c r="A5" t="s">
        <v>37</v>
      </c>
      <c r="B5" t="str">
        <f>IFERROR(LOOKUP(2,1/(Updates!$B$2:$B$99=A5),Updates!$L$2:$L$99),VLOOKUP(A5,Baseline!$A$2:$H$10,4,FALSE))</f>
        <v>Australia</v>
      </c>
      <c r="C5" s="4">
        <f>IFERROR(LOOKUP(2,1/(Updates!$B$2:$B$99=A5),Updates!$M$2:$M$99),VLOOKUP(A5,Baseline!$A$2:$H$10,5,FALSE))</f>
        <v>46077</v>
      </c>
      <c r="D5">
        <f>IFERROR(LOOKUP(2,1/(Updates!$B$2:$B$99=A5),Updates!$N$2:$N$99),VLOOKUP(A5,Baseline!$A$2:$H$10,6,FALSE))</f>
        <v>5</v>
      </c>
      <c r="E5">
        <f>IFERROR(LOOKUP(2,1/(Updates!$B$2:$B$99=A5),Updates!$O$2:$O$99),VLOOKUP(A5,Baseline!$A$2:$H$10,7,FALSE))</f>
        <v>120</v>
      </c>
      <c r="F5">
        <f>IFERROR(LOOKUP(2,1/(Updates!$B$2:$B$99=A5),Updates!$P$2:$P$99),VLOOKUP(A5,Baseline!$A$2:$H$10,8,FALSE))</f>
        <v>251</v>
      </c>
      <c r="G5" s="4">
        <f>IFERROR(LOOKUP(2,1/((Updates!$B$2:$B$99=A5)*(Updates!$F$2:$F$99&lt;&gt;"Completed")*(Updates!$F$2:$F$99&lt;&gt;"Cancelled")*(Updates!$F$2:$F$99&lt;&gt;"Postponed")),Updates!$C$2:$C$99),"TBD")</f>
        <v>46304</v>
      </c>
      <c r="H5" t="str">
        <f>IF(G5="TBD","TBD",IFERROR(LOOKUP(2,1/((Updates!$B$2:$B$99=A5)*(Updates!$C$2:$C$99=G5)),Updates!$D$2:$D$99),"TBD"))</f>
        <v>Bangladesh</v>
      </c>
    </row>
    <row r="6" spans="1:8">
      <c r="A6" t="s">
        <v>39</v>
      </c>
      <c r="B6" t="str">
        <f>IFERROR(LOOKUP(2,1/(Updates!$B$2:$B$99=A6),Updates!$L$2:$L$99),VLOOKUP(A6,Baseline!$A$2:$H$10,4,FALSE))</f>
        <v>Ireland</v>
      </c>
      <c r="C6" s="4">
        <f>IFERROR(LOOKUP(2,1/(Updates!$B$2:$B$99=A6),Updates!$M$2:$M$99),VLOOKUP(A6,Baseline!$A$2:$H$10,5,FALSE))</f>
        <v>46199</v>
      </c>
      <c r="D6">
        <f>IFERROR(LOOKUP(2,1/(Updates!$B$2:$B$99=A6),Updates!$N$2:$N$99),VLOOKUP(A6,Baseline!$A$2:$H$10,6,FALSE))</f>
        <v>1</v>
      </c>
      <c r="E6">
        <f>IFERROR(LOOKUP(2,1/(Updates!$B$2:$B$99=A6),Updates!$O$2:$O$99),VLOOKUP(A6,Baseline!$A$2:$H$10,7,FALSE))</f>
        <v>89</v>
      </c>
      <c r="F6">
        <f>IFERROR(LOOKUP(2,1/(Updates!$B$2:$B$99=A6),Updates!$P$2:$P$99),VLOOKUP(A6,Baseline!$A$2:$H$10,8,FALSE))</f>
        <v>152</v>
      </c>
      <c r="G6" s="4" t="str">
        <f>IFERROR(LOOKUP(2,1/((Updates!$B$2:$B$99=A6)*(Updates!$F$2:$F$99&lt;&gt;"Completed")*(Updates!$F$2:$F$99&lt;&gt;"Cancelled")*(Updates!$F$2:$F$99&lt;&gt;"Postponed")),Updates!$C$2:$C$99),"TBD")</f>
        <v>TBD</v>
      </c>
      <c r="H6" t="str">
        <f>IF(G6="TBD","TBD",IFERROR(LOOKUP(2,1/((Updates!$B$2:$B$99=A6)*(Updates!$C$2:$C$99=G6)),Updates!$D$2:$D$99),"TBD"))</f>
        <v>TBD</v>
      </c>
    </row>
    <row r="7" spans="1:8">
      <c r="A7" t="s">
        <v>42</v>
      </c>
      <c r="B7" t="str">
        <f>IFERROR(LOOKUP(2,1/(Updates!$B$2:$B$99=A7),Updates!$L$2:$L$99),VLOOKUP(A7,Baseline!$A$2:$H$10,4,FALSE))</f>
        <v>Australia</v>
      </c>
      <c r="C7" s="4">
        <f>IFERROR(LOOKUP(2,1/(Updates!$B$2:$B$99=A7),Updates!$M$2:$M$99),VLOOKUP(A7,Baseline!$A$2:$H$10,5,FALSE))</f>
        <v>46186</v>
      </c>
      <c r="D7">
        <f>IFERROR(LOOKUP(2,1/(Updates!$B$2:$B$99=A7),Updates!$N$2:$N$99),VLOOKUP(A7,Baseline!$A$2:$H$10,6,FALSE))</f>
        <v>6</v>
      </c>
      <c r="E7">
        <f>IFERROR(LOOKUP(2,1/(Updates!$B$2:$B$99=A7),Updates!$O$2:$O$99),VLOOKUP(A7,Baseline!$A$2:$H$10,7,FALSE))</f>
        <v>76</v>
      </c>
      <c r="F7">
        <f>IFERROR(LOOKUP(2,1/(Updates!$B$2:$B$99=A7),Updates!$P$2:$P$99),VLOOKUP(A7,Baseline!$A$2:$H$10,8,FALSE))</f>
        <v>139</v>
      </c>
      <c r="G7" s="4">
        <f>IFERROR(LOOKUP(2,1/((Updates!$B$2:$B$99=A7)*(Updates!$F$2:$F$99&lt;&gt;"Completed")*(Updates!$F$2:$F$99&lt;&gt;"Cancelled")*(Updates!$F$2:$F$99&lt;&gt;"Postponed")),Updates!$C$2:$C$99),"TBD")</f>
        <v>46313</v>
      </c>
      <c r="H7" t="str">
        <f>IF(G7="TBD","TBD",IFERROR(LOOKUP(2,1/((Updates!$B$2:$B$99=A7)*(Updates!$C$2:$C$99=G7)),Updates!$D$2:$D$99),"TBD"))</f>
        <v>New Zealand</v>
      </c>
    </row>
    <row r="8" spans="1:8">
      <c r="A8" t="s">
        <v>44</v>
      </c>
      <c r="B8" t="str">
        <f>IFERROR(LOOKUP(2,1/(Updates!$B$2:$B$99=A8),Updates!$L$2:$L$99),VLOOKUP(A8,Baseline!$A$2:$H$10,4,FALSE))</f>
        <v>Royal Challengers Bengaluru</v>
      </c>
      <c r="C8" s="4">
        <f>IFERROR(LOOKUP(2,1/(Updates!$B$2:$B$99=A8),Updates!$M$2:$M$99),VLOOKUP(A8,Baseline!$A$2:$H$10,5,FALSE))</f>
        <v>46173</v>
      </c>
      <c r="D8">
        <f>IFERROR(LOOKUP(2,1/(Updates!$B$2:$B$99=A8),Updates!$N$2:$N$99),VLOOKUP(A8,Baseline!$A$2:$H$10,6,FALSE))</f>
        <v>0</v>
      </c>
      <c r="E8">
        <f>IFERROR(LOOKUP(2,1/(Updates!$B$2:$B$99=A8),Updates!$O$2:$O$99),VLOOKUP(A8,Baseline!$A$2:$H$10,7,FALSE))</f>
        <v>150</v>
      </c>
      <c r="F8">
        <f>IFERROR(LOOKUP(2,1/(Updates!$B$2:$B$99=A8),Updates!$P$2:$P$99),VLOOKUP(A8,Baseline!$A$2:$H$10,8,FALSE))</f>
        <v>125</v>
      </c>
      <c r="G8" s="4" t="str">
        <f>IFERROR(LOOKUP(2,1/((Updates!$B$2:$B$99=A8)*(Updates!$F$2:$F$99&lt;&gt;"Completed")*(Updates!$F$2:$F$99&lt;&gt;"Cancelled")*(Updates!$F$2:$F$99&lt;&gt;"Postponed")),Updates!$C$2:$C$99),"TBD")</f>
        <v>TBD</v>
      </c>
      <c r="H8" t="str">
        <f>IF(G8="TBD","TBD",IFERROR(LOOKUP(2,1/((Updates!$B$2:$B$99=A8)*(Updates!$C$2:$C$99=G8)),Updates!$D$2:$D$99),"TBD"))</f>
        <v>TBD</v>
      </c>
    </row>
    <row r="9" spans="1:8">
      <c r="A9" t="s">
        <v>47</v>
      </c>
      <c r="B9" t="str">
        <f>IFERROR(LOOKUP(2,1/(Updates!$B$2:$B$99=A9),Updates!$L$2:$L$99),VLOOKUP(A9,Baseline!$A$2:$H$10,4,FALSE))</f>
        <v>Bayern München</v>
      </c>
      <c r="C9" s="4">
        <f>IFERROR(LOOKUP(2,1/(Updates!$B$2:$B$99=A9),Updates!$M$2:$M$99),VLOOKUP(A9,Baseline!$A$2:$H$10,5,FALSE))</f>
        <v>46081</v>
      </c>
      <c r="D9">
        <f>IFERROR(LOOKUP(2,1/(Updates!$B$2:$B$99=A9),Updates!$N$2:$N$99),VLOOKUP(A9,Baseline!$A$2:$H$10,6,FALSE))</f>
        <v>11</v>
      </c>
      <c r="E9">
        <f>IFERROR(LOOKUP(2,1/(Updates!$B$2:$B$99=A9),Updates!$O$2:$O$99),VLOOKUP(A9,Baseline!$A$2:$H$10,7,FALSE))</f>
        <v>681</v>
      </c>
      <c r="F9">
        <f>IFERROR(LOOKUP(2,1/(Updates!$B$2:$B$99=A9),Updates!$P$2:$P$99),VLOOKUP(A9,Baseline!$A$2:$H$10,8,FALSE))</f>
        <v>1443</v>
      </c>
      <c r="G9" s="4">
        <f>IFERROR(LOOKUP(2,1/((Updates!$B$2:$B$99=A9)*(Updates!$F$2:$F$99&lt;&gt;"Completed")*(Updates!$F$2:$F$99&lt;&gt;"Cancelled")*(Updates!$F$2:$F$99&lt;&gt;"Postponed")),Updates!$C$2:$C$99),"TBD")</f>
        <v>46269</v>
      </c>
      <c r="H9" t="str">
        <f>IF(G9="TBD","TBD",IFERROR(LOOKUP(2,1/((Updates!$B$2:$B$99=A9)*(Updates!$C$2:$C$99=G9)),Updates!$D$2:$D$99),"TBD"))</f>
        <v>Schalke FC</v>
      </c>
    </row>
    <row r="10" spans="1:8">
      <c r="A10" t="s">
        <v>51</v>
      </c>
      <c r="B10" t="str">
        <f>IFERROR(LOOKUP(2,1/(Updates!$B$2:$B$99=A10),Updates!$L$2:$L$99),VLOOKUP(A10,Baseline!$A$2:$H$10,4,FALSE))</f>
        <v>Bayern München</v>
      </c>
      <c r="C10" s="4">
        <f>IFERROR(LOOKUP(2,1/(Updates!$B$2:$B$99=A10),Updates!$M$2:$M$99),VLOOKUP(A10,Baseline!$A$2:$H$10,5,FALSE))</f>
        <v>45730</v>
      </c>
      <c r="D10">
        <f>IFERROR(LOOKUP(2,1/(Updates!$B$2:$B$99=A10),Updates!$N$2:$N$99),VLOOKUP(A10,Baseline!$A$2:$H$10,6,FALSE))</f>
        <v>32</v>
      </c>
      <c r="E10">
        <f>IFERROR(LOOKUP(2,1/(Updates!$B$2:$B$99=A10),Updates!$O$2:$O$99),VLOOKUP(A10,Baseline!$A$2:$H$10,7,FALSE))</f>
        <v>113</v>
      </c>
      <c r="F10">
        <f>IFERROR(LOOKUP(2,1/(Updates!$B$2:$B$99=A10),Updates!$P$2:$P$99),VLOOKUP(A10,Baseline!$A$2:$H$10,8,FALSE))</f>
        <v>655</v>
      </c>
      <c r="G10" s="4">
        <f>IFERROR(LOOKUP(2,1/((Updates!$B$2:$B$99=A10)*(Updates!$F$2:$F$99&lt;&gt;"Completed")*(Updates!$F$2:$F$99&lt;&gt;"Cancelled")*(Updates!$F$2:$F$99&lt;&gt;"Postponed")),Updates!$C$2:$C$99),"TBD")</f>
        <v>46265</v>
      </c>
      <c r="H10" t="str">
        <f>IF(G10="TBD","TBD",IFERROR(LOOKUP(2,1/((Updates!$B$2:$B$99=A10)*(Updates!$C$2:$C$99=G10)),Updates!$D$2:$D$99),"TBD"))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  <c r="F1" s="1" t="s">
        <v>109</v>
      </c>
      <c r="G1" s="1" t="s">
        <v>110</v>
      </c>
      <c r="H1" s="1" t="s">
        <v>111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1</v>
      </c>
      <c r="E4">
        <f>Dashboard!E4</f>
        <v>358</v>
      </c>
      <c r="F4">
        <f>Dashboard!F4</f>
        <v>597</v>
      </c>
      <c r="G4" s="9" t="str">
        <f>Dashboard!G4</f>
        <v>TBD</v>
      </c>
      <c r="H4" t="str">
        <f>Dashboard!H4</f>
        <v>TBD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2026-08-30T19:43:25Z</dcterms:modified>
</cp:coreProperties>
</file>