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ownloads\"/>
    </mc:Choice>
  </mc:AlternateContent>
  <xr:revisionPtr revIDLastSave="0" documentId="13_ncr:1_{A28B64F2-693E-44E4-AB5C-4FC30CF8980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P9" i="4"/>
  <c r="O9" i="4"/>
  <c r="N9" i="4"/>
  <c r="M9" i="4"/>
  <c r="K9" i="4"/>
  <c r="L9" i="4" s="1"/>
  <c r="J9" i="4"/>
  <c r="A9" i="4"/>
  <c r="P8" i="4"/>
  <c r="F10" i="5" s="1"/>
  <c r="F10" i="6" s="1"/>
  <c r="O8" i="4"/>
  <c r="E10" i="5" s="1"/>
  <c r="E10" i="6" s="1"/>
  <c r="M8" i="4"/>
  <c r="C10" i="5" s="1"/>
  <c r="C10" i="6" s="1"/>
  <c r="K8" i="4"/>
  <c r="N8" i="4" s="1"/>
  <c r="D10" i="5" s="1"/>
  <c r="D10" i="6" s="1"/>
  <c r="J8" i="4"/>
  <c r="A8" i="4"/>
  <c r="K7" i="4"/>
  <c r="P7" i="4" s="1"/>
  <c r="F9" i="5" s="1"/>
  <c r="F9" i="6" s="1"/>
  <c r="J7" i="4"/>
  <c r="A7" i="4"/>
  <c r="O6" i="4"/>
  <c r="E7" i="5" s="1"/>
  <c r="E7" i="6" s="1"/>
  <c r="K6" i="4"/>
  <c r="N6" i="4" s="1"/>
  <c r="D7" i="5" s="1"/>
  <c r="D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K4" i="4"/>
  <c r="P4" i="4" s="1"/>
  <c r="F4" i="5" s="1"/>
  <c r="F4" i="6" s="1"/>
  <c r="J4" i="4"/>
  <c r="A4" i="4"/>
  <c r="P3" i="4"/>
  <c r="F3" i="5" s="1"/>
  <c r="F3" i="6" s="1"/>
  <c r="O3" i="4"/>
  <c r="E3" i="5" s="1"/>
  <c r="E3" i="6" s="1"/>
  <c r="M3" i="4"/>
  <c r="C3" i="5" s="1"/>
  <c r="C3" i="6" s="1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M2" i="4"/>
  <c r="C2" i="5" s="1"/>
  <c r="C2" i="6" s="1"/>
  <c r="L2" i="4"/>
  <c r="B2" i="5" s="1"/>
  <c r="B2" i="6" s="1"/>
  <c r="K2" i="4"/>
  <c r="N2" i="4" s="1"/>
  <c r="D2" i="5" s="1"/>
  <c r="D2" i="6" s="1"/>
  <c r="J2" i="4"/>
  <c r="A2" i="4"/>
  <c r="N7" i="4" l="1"/>
  <c r="D9" i="5" s="1"/>
  <c r="D9" i="6" s="1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6" i="6"/>
  <c r="G9" i="6"/>
  <c r="H2" i="5"/>
  <c r="H2" i="6" s="1"/>
  <c r="L4" i="4"/>
  <c r="B4" i="5" s="1"/>
  <c r="B4" i="6" s="1"/>
  <c r="L7" i="4"/>
  <c r="B9" i="5" s="1"/>
  <c r="B9" i="6" s="1"/>
  <c r="M7" i="4"/>
  <c r="C9" i="5" s="1"/>
  <c r="C9" i="6" s="1"/>
  <c r="H4" i="5"/>
  <c r="H4" i="6" s="1"/>
  <c r="M4" i="4"/>
  <c r="C4" i="5" s="1"/>
  <c r="C4" i="6" s="1"/>
  <c r="N4" i="4"/>
  <c r="D4" i="5" s="1"/>
  <c r="D4" i="6" s="1"/>
  <c r="G8" i="6"/>
  <c r="O4" i="4"/>
  <c r="E4" i="5" s="1"/>
  <c r="E4" i="6" s="1"/>
  <c r="O7" i="4"/>
  <c r="E9" i="5" s="1"/>
  <c r="E9" i="6" s="1"/>
  <c r="L3" i="4"/>
  <c r="B3" i="5" s="1"/>
  <c r="B3" i="6" s="1"/>
  <c r="L6" i="4"/>
  <c r="B7" i="5" s="1"/>
  <c r="B7" i="6" s="1"/>
  <c r="M6" i="4"/>
  <c r="C7" i="5" s="1"/>
  <c r="C7" i="6" s="1"/>
  <c r="G10" i="6"/>
</calcChain>
</file>

<file path=xl/sharedStrings.xml><?xml version="1.0" encoding="utf-8"?>
<sst xmlns="http://schemas.openxmlformats.org/spreadsheetml/2006/main" count="172" uniqueCount="117">
  <si>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</si>
  <si>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</si>
  <si>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</si>
  <si>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</si>
  <si>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</si>
  <si>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</si>
  <si>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</si>
  <si>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</si>
  <si>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</si>
  <si>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</si>
  <si>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</si>
  <si>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</si>
  <si>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</si>
  <si>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</si>
  <si>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</si>
  <si>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</si>
  <si>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</si>
  <si>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</si>
  <si>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</si>
  <si>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</si>
  <si>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Test</t>
  </si>
  <si>
    <t>Use the existing Uwe Seeler Trophy row first.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</si>
  <si>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</si>
  <si>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</si>
  <si>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</si>
  <si>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</si>
  <si>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</si>
  <si>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</si>
  <si>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</si>
  <si>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</si>
  <si>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</si>
  <si>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</si>
  <si>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</si>
  <si>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</si>
  <si>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</si>
  <si>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</si>
  <si>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</si>
  <si>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</si>
  <si>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</si>
  <si>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</si>
  <si>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</si>
  <si>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</si>
  <si>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</si>
  <si>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</si>
  <si>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</si>
  <si>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</si>
  <si>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</si>
  <si>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</si>
  <si>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</si>
  <si>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</si>
  <si>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</si>
  <si>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</si>
  <si>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</si>
  <si>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</si>
  <si>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</si>
  <si>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</si>
  <si>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</si>
  <si>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</si>
  <si>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</si>
  <si>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</si>
  <si>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</si>
  <si>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</si>
  <si>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</si>
  <si>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</si>
  <si>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</si>
  <si>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</si>
  <si>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</si>
  <si>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</si>
  <si>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</si>
  <si>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</si>
  <si>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</si>
  <si>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</si>
  <si>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</si>
  <si>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</si>
  <si>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</si>
  <si>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</si>
  <si>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</si>
  <si>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</si>
  <si>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</si>
  <si>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</si>
  <si>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</si>
  <si>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</si>
  <si>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</si>
  <si>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</si>
  <si>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</si>
  <si>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</si>
  <si>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</si>
  <si>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</si>
  <si>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</si>
  <si>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</si>
  <si>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</si>
  <si>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</si>
  <si>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</si>
  <si>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</si>
  <si>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</si>
  <si>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</si>
  <si>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</si>
  <si>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</si>
  <si>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</si>
  <si>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</si>
  <si>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</si>
  <si>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Fixture shown on current page; result not entered here.</t>
  </si>
  <si>
    <t>1. FSV Mainz 05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</si>
  <si>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</si>
  <si>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</si>
  <si>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</si>
  <si>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</si>
  <si>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</si>
  <si>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</si>
  <si>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</si>
  <si>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</si>
  <si>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</si>
  <si>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</si>
  <si>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</si>
  <si>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</si>
  <si>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Bayern München 5 - VfB Stuttgart 1</t>
  </si>
  <si>
    <t>Schalke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</si>
</sst>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yyyy\-mm\-dd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>
      <c r="A9" s="3" t="s">
        <v>20</v>
      </c>
      <c r="B9" s="3" t="s">
        <v>21</v>
      </c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>
      <c r="A2" t="s">
        <v>30</v>
      </c>
      <c r="B2" t="s">
        <v>31</v>
      </c>
      <c r="C2" t="s">
        <v>32</v>
      </c>
      <c r="D2" t="s">
        <v>33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34</v>
      </c>
      <c r="B3" t="s">
        <v>31</v>
      </c>
      <c r="C3" t="s">
        <v>35</v>
      </c>
      <c r="D3" t="s">
        <v>36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37</v>
      </c>
      <c r="B4" t="s">
        <v>31</v>
      </c>
      <c r="C4" t="s">
        <v>38</v>
      </c>
      <c r="D4" t="s">
        <v>36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39</v>
      </c>
      <c r="B5" t="s">
        <v>31</v>
      </c>
      <c r="C5" t="s">
        <v>40</v>
      </c>
      <c r="D5" t="s">
        <v>36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41</v>
      </c>
      <c r="B6" t="s">
        <v>31</v>
      </c>
      <c r="C6" t="s">
        <v>42</v>
      </c>
      <c r="D6" t="s">
        <v>43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44</v>
      </c>
      <c r="B7" t="s">
        <v>31</v>
      </c>
      <c r="C7" t="s">
        <v>45</v>
      </c>
      <c r="D7" t="s">
        <v>36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46</v>
      </c>
      <c r="B8" t="s">
        <v>31</v>
      </c>
      <c r="C8" t="s">
        <v>47</v>
      </c>
      <c r="D8" t="s">
        <v>48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49</v>
      </c>
      <c r="B9" t="s">
        <v>50</v>
      </c>
      <c r="C9" t="s">
        <v>51</v>
      </c>
      <c r="D9" t="s">
        <v>52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53</v>
      </c>
      <c r="B10" t="s">
        <v>50</v>
      </c>
      <c r="C10" t="s">
        <v>54</v>
      </c>
      <c r="D10" t="s">
        <v>52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22</v>
      </c>
      <c r="B1" s="1" t="s">
        <v>55</v>
      </c>
      <c r="C1" s="1"/>
      <c r="D1" s="1" t="s">
        <v>56</v>
      </c>
      <c r="E1" s="1" t="s">
        <v>57</v>
      </c>
    </row>
    <row r="2" spans="1:5">
      <c r="A2" t="s">
        <v>30</v>
      </c>
      <c r="B2" t="s">
        <v>58</v>
      </c>
      <c r="D2" t="s">
        <v>59</v>
      </c>
      <c r="E2" t="s">
        <v>60</v>
      </c>
    </row>
    <row r="3" spans="1:5">
      <c r="A3" t="s">
        <v>34</v>
      </c>
      <c r="B3" t="s">
        <v>61</v>
      </c>
      <c r="D3" t="s">
        <v>62</v>
      </c>
      <c r="E3" t="s">
        <v>63</v>
      </c>
    </row>
    <row r="4" spans="1:5">
      <c r="A4" t="s">
        <v>37</v>
      </c>
      <c r="B4" t="s">
        <v>64</v>
      </c>
      <c r="D4" t="s">
        <v>65</v>
      </c>
      <c r="E4" t="s">
        <v>66</v>
      </c>
    </row>
    <row r="5" spans="1:5">
      <c r="A5" t="s">
        <v>39</v>
      </c>
      <c r="B5" t="s">
        <v>67</v>
      </c>
      <c r="D5" t="s">
        <v>68</v>
      </c>
      <c r="E5" t="s">
        <v>69</v>
      </c>
    </row>
    <row r="6" spans="1:5">
      <c r="A6" t="s">
        <v>41</v>
      </c>
      <c r="B6" t="s">
        <v>70</v>
      </c>
      <c r="D6" t="s">
        <v>71</v>
      </c>
    </row>
    <row r="7" spans="1:5">
      <c r="A7" t="s">
        <v>44</v>
      </c>
      <c r="B7" t="s">
        <v>72</v>
      </c>
    </row>
    <row r="8" spans="1:5">
      <c r="A8" t="s">
        <v>46</v>
      </c>
      <c r="B8" t="s">
        <v>73</v>
      </c>
    </row>
    <row r="9" spans="1:5">
      <c r="A9" t="s">
        <v>49</v>
      </c>
      <c r="B9" t="s">
        <v>74</v>
      </c>
    </row>
    <row r="10" spans="1:5">
      <c r="A10" t="s">
        <v>53</v>
      </c>
      <c r="B10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0"/>
  <sheetViews>
    <sheetView workbookViewId="0">
      <selection activeCell="F9" sqref="F9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</cols>
  <sheetData>
    <row r="1" spans="1:17" ht="30">
      <c r="A1" s="2" t="s">
        <v>76</v>
      </c>
      <c r="B1" s="2" t="s">
        <v>22</v>
      </c>
      <c r="C1" s="2" t="s">
        <v>77</v>
      </c>
      <c r="D1" s="2" t="s">
        <v>78</v>
      </c>
      <c r="E1" s="2" t="s">
        <v>79</v>
      </c>
      <c r="F1" s="2" t="s">
        <v>56</v>
      </c>
      <c r="G1" s="2" t="s">
        <v>57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>
      <c r="A2" s="6" t="str">
        <f>IF(OR(B2="",C2=""),"",VLOOKUP(B2,Lists!$A$2:$B$10,2,FALSE)&amp;"-"&amp;TEXT(C2,"yyyymmdd")&amp;"-01")</f>
        <v>CBB-20261009-01</v>
      </c>
      <c r="B2" s="5" t="s">
        <v>30</v>
      </c>
      <c r="C2" s="7">
        <v>46304</v>
      </c>
      <c r="D2" s="5" t="s">
        <v>36</v>
      </c>
      <c r="E2" s="5" t="s">
        <v>90</v>
      </c>
      <c r="F2" s="5" t="s">
        <v>59</v>
      </c>
      <c r="G2" s="5"/>
      <c r="H2" s="5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result","REVIEW")))))</f>
        <v>Scheduled</v>
      </c>
      <c r="L2" s="6" t="str">
        <f t="shared" ref="L2:L33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</row>
    <row r="3" spans="1:17">
      <c r="A3" s="6" t="str">
        <f>IF(OR(B3="",C3=""),"",VLOOKUP(B3,Lists!$A$2:$B$10,2,FALSE)&amp;"-"&amp;TEXT(C3,"yyyymmdd")&amp;"-"&amp;TEXT(COUNTIFS($B$2:B3,B3,$C$2:C3,C3),"00"))</f>
        <v>MMM-20270624-01</v>
      </c>
      <c r="B3" s="5" t="s">
        <v>34</v>
      </c>
      <c r="C3" s="7">
        <v>46562</v>
      </c>
      <c r="D3" s="5" t="s">
        <v>91</v>
      </c>
      <c r="E3" s="5" t="s">
        <v>92</v>
      </c>
      <c r="F3" s="5" t="s">
        <v>59</v>
      </c>
      <c r="G3" s="5"/>
      <c r="H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93</v>
      </c>
    </row>
    <row r="4" spans="1:17">
      <c r="A4" s="6" t="str">
        <f>IF(OR(B4="",C4=""),"",VLOOKUP(B4,Lists!$A$2:$B$10,2,FALSE)&amp;"-"&amp;TEXT(C4,"yyyymmdd")&amp;"-"&amp;TEXT(COUNTIFS($B$2:B4,B4,$C$2:C4,C4),"00"))</f>
        <v>JEJ-20260915-01</v>
      </c>
      <c r="B4" s="5" t="s">
        <v>37</v>
      </c>
      <c r="C4" s="7">
        <v>46280</v>
      </c>
      <c r="D4" s="5" t="s">
        <v>94</v>
      </c>
      <c r="E4" s="5" t="s">
        <v>95</v>
      </c>
      <c r="F4" s="5" t="s">
        <v>59</v>
      </c>
      <c r="G4" s="5"/>
      <c r="H4" s="5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</row>
    <row r="5" spans="1:17">
      <c r="A5" s="6" t="str">
        <f>IF(OR(B5="",C5=""),"",VLOOKUP(B5,Lists!$A$2:$B$10,2,FALSE)&amp;"-"&amp;TEXT(C5,"yyyymmdd")&amp;"-"&amp;TEXT(COUNTIFS($B$2:B5,B5,$C$2:C5,C5),"00"))</f>
        <v>TMT-20261009-01</v>
      </c>
      <c r="B5" s="5" t="s">
        <v>39</v>
      </c>
      <c r="C5" s="7">
        <v>46304</v>
      </c>
      <c r="D5" s="5" t="s">
        <v>96</v>
      </c>
      <c r="E5" s="5" t="s">
        <v>97</v>
      </c>
      <c r="F5" s="5" t="s">
        <v>59</v>
      </c>
      <c r="G5" s="5"/>
      <c r="H5" s="5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</row>
    <row r="6" spans="1:17">
      <c r="A6" s="6" t="str">
        <f>IF(OR(B6="",C6=""),"",VLOOKUP(B6,Lists!$A$2:$B$10,2,FALSE)&amp;"-"&amp;TEXT(C6,"yyyymmdd")&amp;"-"&amp;TEXT(COUNTIFS($B$2:B6,B6,$C$2:C6,C6),"00"))</f>
        <v>RRR-20261018-01</v>
      </c>
      <c r="B6" s="5" t="s">
        <v>44</v>
      </c>
      <c r="C6" s="7">
        <v>46313</v>
      </c>
      <c r="D6" s="5" t="s">
        <v>98</v>
      </c>
      <c r="E6" s="5" t="s">
        <v>99</v>
      </c>
      <c r="F6" s="5" t="s">
        <v>59</v>
      </c>
      <c r="G6" s="5"/>
      <c r="H6" s="5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</row>
    <row r="7" spans="1:17">
      <c r="A7" s="6" t="str">
        <f>IF(OR(B7="",C7=""),"",VLOOKUP(B7,Lists!$A$2:$B$10,2,FALSE)&amp;"-"&amp;TEXT(C7,"yyyymmdd")&amp;"-"&amp;TEXT(COUNTIFS($B$2:B7,B7,$C$2:C7,C7),"00"))</f>
        <v>UST-20260828-01</v>
      </c>
      <c r="B7" s="5" t="s">
        <v>49</v>
      </c>
      <c r="C7" s="7">
        <v>46262</v>
      </c>
      <c r="D7" s="5" t="s">
        <v>100</v>
      </c>
      <c r="E7" s="5"/>
      <c r="F7" s="5" t="s">
        <v>65</v>
      </c>
      <c r="G7" s="5" t="s">
        <v>60</v>
      </c>
      <c r="H7" t="s">
        <v>115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IF(B7="","",IF(K7="Transfer",C7,IFERROR(LOOKUP(2,1/($B$2:B6=B7),$M$2:M6),VLOOKUP(B7,Baseline!$A$2:$H$10,5,FALSE))))</f>
        <v>46081</v>
      </c>
      <c r="N7" s="6">
        <f>IF(B7="","",IF(K7="Transfer",0,IFERROR(LOOKUP(2,1/($B$2:B6=B7),$N$2:N6),VLOOKUP(B7,Baseline!$A$2:$H$10,6,FALSE))+IF(K7="Defence",1,0)))</f>
        <v>11</v>
      </c>
      <c r="O7" s="6">
        <f>IF(B7="","",IFERROR(LOOKUP(2,1/($B$2:B6=B7),$O$2:O6),VLOOKUP(B7,Baseline!$A$2:$H$10,7,FALSE))+IF(K7="Transfer",1,0))</f>
        <v>681</v>
      </c>
      <c r="P7" s="6">
        <f>IF(B7="","",IFERROR(LOOKUP(2,1/($B$2:B6=B7),$P$2:P6),VLOOKUP(B7,Baseline!$A$2:$H$10,8,FALSE))+IF(K7="Defence",1,0))</f>
        <v>1443</v>
      </c>
      <c r="Q7" s="5" t="s">
        <v>101</v>
      </c>
    </row>
    <row r="8" spans="1:17">
      <c r="A8" s="6" t="str">
        <f>IF(OR(B8="",C8=""),"",VLOOKUP(B8,Lists!$A$2:$B$10,2,FALSE)&amp;"-"&amp;TEXT(C8,"yyyymmdd")&amp;"-"&amp;TEXT(COUNTIFS($B$2:B8,B8,$C$2:C8,C8),"00"))</f>
        <v>HMP-20260831-01</v>
      </c>
      <c r="B8" s="5" t="s">
        <v>53</v>
      </c>
      <c r="C8" s="7">
        <v>46265</v>
      </c>
      <c r="D8" s="5" t="s">
        <v>102</v>
      </c>
      <c r="E8" s="5"/>
      <c r="F8" s="5" t="s">
        <v>59</v>
      </c>
      <c r="G8" s="5"/>
      <c r="H8" s="5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</row>
    <row r="9" spans="1:17">
      <c r="A9" s="6" t="str">
        <f>IF(OR(B9="",C9=""),"",VLOOKUP(B9,Lists!$A$2:$B$10,2,FALSE)&amp;"-"&amp;TEXT(C9,"yyyymmdd")&amp;"-"&amp;TEXT(COUNTIFS($B$2:B9,B9,$C$2:C9,C9),"00"))</f>
        <v>UST-20260904-01</v>
      </c>
      <c r="B9" s="5" t="s">
        <v>49</v>
      </c>
      <c r="C9" s="7">
        <v>46269</v>
      </c>
      <c r="D9" s="5" t="s">
        <v>116</v>
      </c>
      <c r="E9" s="5"/>
      <c r="F9" s="5" t="s">
        <v>59</v>
      </c>
      <c r="G9" s="5"/>
      <c r="H9" s="5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IF(B9="","",IF(K9="Transfer",C9,IFERROR(LOOKUP(2,1/($B$2:B8=B9),$M$2:M8),VLOOKUP(B9,Baseline!$A$2:$H$10,5,FALSE))))</f>
        <v>46081</v>
      </c>
      <c r="N9" s="6">
        <f>IF(B9="","",IF(K9="Transfer",0,IFERROR(LOOKUP(2,1/($B$2:B8=B9),$N$2:N8),VLOOKUP(B9,Baseline!$A$2:$H$10,6,FALSE))+IF(K9="Defence",1,0)))</f>
        <v>11</v>
      </c>
      <c r="O9" s="6">
        <f>IF(B9="","",IFERROR(LOOKUP(2,1/($B$2:B8=B9),$O$2:O8),VLOOKUP(B9,Baseline!$A$2:$H$10,7,FALSE))+IF(K9="Transfer",1,0))</f>
        <v>681</v>
      </c>
      <c r="P9" s="6">
        <f>IF(B9="","",IFERROR(LOOKUP(2,1/($B$2:B8=B9),$P$2:P8),VLOOKUP(B9,Baseline!$A$2:$H$10,8,FALSE))+IF(K9="Defence",1,0))</f>
        <v>1443</v>
      </c>
      <c r="Q9" s="5"/>
    </row>
    <row r="10" spans="1:17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5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</row>
    <row r="11" spans="1:17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5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</row>
    <row r="12" spans="1:17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5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</row>
    <row r="13" spans="1:17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5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</row>
    <row r="14" spans="1:17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5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</row>
    <row r="15" spans="1:17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5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</row>
    <row r="16" spans="1:17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5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</row>
    <row r="17" spans="1:17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5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</row>
    <row r="18" spans="1:17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5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</row>
    <row r="19" spans="1:17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5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</row>
    <row r="20" spans="1:17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5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</row>
    <row r="21" spans="1:17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5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</row>
    <row r="22" spans="1:17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5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</row>
    <row r="23" spans="1:17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5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</row>
    <row r="24" spans="1:17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5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</row>
    <row r="25" spans="1:17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5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</row>
    <row r="26" spans="1:17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5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</row>
    <row r="27" spans="1:17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5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</row>
    <row r="28" spans="1:17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5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</row>
    <row r="29" spans="1:17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5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</row>
    <row r="30" spans="1:17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5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</row>
    <row r="31" spans="1:17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5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</row>
    <row r="32" spans="1:17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5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</row>
    <row r="33" spans="1:17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5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</row>
    <row r="34" spans="1:17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5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</row>
    <row r="35" spans="1:17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5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</row>
    <row r="36" spans="1:17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5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</row>
    <row r="37" spans="1:17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5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</row>
    <row r="38" spans="1:17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5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</row>
    <row r="39" spans="1:17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5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</row>
    <row r="40" spans="1:17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5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</row>
    <row r="41" spans="1:17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5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</row>
    <row r="42" spans="1:17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5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</row>
    <row r="43" spans="1:17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5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</row>
    <row r="44" spans="1:17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5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</row>
    <row r="45" spans="1:17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5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</row>
    <row r="46" spans="1:17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5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</row>
    <row r="47" spans="1:17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5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</row>
    <row r="48" spans="1:17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5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</row>
    <row r="49" spans="1:17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5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</row>
    <row r="50" spans="1:17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5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</row>
    <row r="51" spans="1:17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5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</row>
    <row r="52" spans="1:17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5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</row>
    <row r="53" spans="1:17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5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</row>
    <row r="54" spans="1:17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5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</row>
    <row r="55" spans="1:17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5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</row>
    <row r="56" spans="1:17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5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</row>
    <row r="57" spans="1:17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5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</row>
    <row r="58" spans="1:17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5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</row>
    <row r="59" spans="1:17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5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</row>
    <row r="60" spans="1:17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5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</row>
    <row r="61" spans="1:17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5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</row>
    <row r="62" spans="1:17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5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</row>
    <row r="63" spans="1:17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5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</row>
    <row r="64" spans="1:17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5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</row>
    <row r="65" spans="1:17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5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</row>
    <row r="66" spans="1:17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5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</row>
    <row r="67" spans="1:17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5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</row>
    <row r="68" spans="1:17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5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</row>
    <row r="69" spans="1:17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5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</row>
    <row r="70" spans="1:17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5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</row>
    <row r="71" spans="1:17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5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</row>
    <row r="72" spans="1:17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5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</row>
    <row r="73" spans="1:17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5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</row>
    <row r="74" spans="1:17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5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</row>
    <row r="75" spans="1:17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5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</row>
    <row r="76" spans="1:17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5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</row>
    <row r="77" spans="1:17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5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</row>
    <row r="78" spans="1:17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5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</row>
    <row r="79" spans="1:17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5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</row>
    <row r="80" spans="1:17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5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</row>
    <row r="81" spans="1:17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5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</row>
    <row r="82" spans="1:17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5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</row>
    <row r="83" spans="1:17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5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</row>
    <row r="84" spans="1:17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5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</row>
    <row r="85" spans="1:17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5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</row>
    <row r="86" spans="1:17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5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</row>
    <row r="87" spans="1:17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5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</row>
    <row r="88" spans="1:17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5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</row>
    <row r="89" spans="1:17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5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</row>
    <row r="90" spans="1:17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5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</row>
    <row r="91" spans="1:17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5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</row>
    <row r="92" spans="1:17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5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</row>
    <row r="93" spans="1:17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5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</row>
    <row r="94" spans="1:17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5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</row>
    <row r="95" spans="1:17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5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</row>
    <row r="96" spans="1:17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5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</row>
    <row r="97" spans="1:17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5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</row>
    <row r="98" spans="1:17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5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29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</row>
    <row r="99" spans="1:17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5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</row>
    <row r="100" spans="1:17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5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</row>
  </sheetData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>
      <selection activeCell="A9" sqref="A9:H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22</v>
      </c>
      <c r="B1" s="1" t="s">
        <v>103</v>
      </c>
      <c r="C1" s="1" t="s">
        <v>104</v>
      </c>
      <c r="D1" s="1" t="s">
        <v>27</v>
      </c>
      <c r="E1" s="1" t="s">
        <v>28</v>
      </c>
      <c r="F1" s="1" t="s">
        <v>29</v>
      </c>
      <c r="G1" s="1" t="s">
        <v>105</v>
      </c>
      <c r="H1" s="1" t="s">
        <v>106</v>
      </c>
    </row>
    <row r="2" spans="1:8">
      <c r="A2" t="s">
        <v>30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34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37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39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41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44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46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49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53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tabSelected="1" workbookViewId="0">
      <selection activeCell="A9" sqref="A9:H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2026-08-30T12:19:39Z</dcterms:modified>
</cp:coreProperties>
</file>