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ownloads\"/>
    </mc:Choice>
  </mc:AlternateContent>
  <xr:revisionPtr revIDLastSave="0" documentId="13_ncr:1_{6C1FF8A6-A208-44D3-8C8C-922EC87E116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P9" i="4"/>
  <c r="O9" i="4"/>
  <c r="N9" i="4"/>
  <c r="M9" i="4"/>
  <c r="L9" i="4"/>
  <c r="K9" i="4"/>
  <c r="J9" i="4"/>
  <c r="A9" i="4"/>
  <c r="K8" i="4"/>
  <c r="N8" i="4" s="1"/>
  <c r="D10" i="5" s="1"/>
  <c r="D10" i="6" s="1"/>
  <c r="J8" i="4"/>
  <c r="A8" i="4"/>
  <c r="K7" i="4"/>
  <c r="P7" i="4" s="1"/>
  <c r="J7" i="4"/>
  <c r="A7" i="4"/>
  <c r="K6" i="4"/>
  <c r="N6" i="4" s="1"/>
  <c r="D7" i="5" s="1"/>
  <c r="D7" i="6" s="1"/>
  <c r="J6" i="4"/>
  <c r="A6" i="4"/>
  <c r="P5" i="4"/>
  <c r="F5" i="5" s="1"/>
  <c r="F5" i="6" s="1"/>
  <c r="O5" i="4"/>
  <c r="E5" i="5" s="1"/>
  <c r="E5" i="6" s="1"/>
  <c r="M5" i="4"/>
  <c r="C5" i="5" s="1"/>
  <c r="C5" i="6" s="1"/>
  <c r="K5" i="4"/>
  <c r="N5" i="4" s="1"/>
  <c r="D5" i="5" s="1"/>
  <c r="D5" i="6" s="1"/>
  <c r="J5" i="4"/>
  <c r="A5" i="4"/>
  <c r="K4" i="4"/>
  <c r="P4" i="4" s="1"/>
  <c r="F4" i="5" s="1"/>
  <c r="F4" i="6" s="1"/>
  <c r="J4" i="4"/>
  <c r="A4" i="4"/>
  <c r="O3" i="4"/>
  <c r="E3" i="5" s="1"/>
  <c r="E3" i="6" s="1"/>
  <c r="M3" i="4"/>
  <c r="C3" i="5" s="1"/>
  <c r="C3" i="6" s="1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M2" i="4"/>
  <c r="C2" i="5" s="1"/>
  <c r="C2" i="6" s="1"/>
  <c r="K2" i="4"/>
  <c r="N2" i="4" s="1"/>
  <c r="D2" i="5" s="1"/>
  <c r="D2" i="6" s="1"/>
  <c r="J2" i="4"/>
  <c r="A2" i="4"/>
  <c r="P3" i="4" l="1"/>
  <c r="F3" i="5" s="1"/>
  <c r="F3" i="6" s="1"/>
  <c r="O6" i="4"/>
  <c r="E7" i="5" s="1"/>
  <c r="E7" i="6" s="1"/>
  <c r="L2" i="4"/>
  <c r="B2" i="5" s="1"/>
  <c r="B2" i="6" s="1"/>
  <c r="M8" i="4"/>
  <c r="C10" i="5" s="1"/>
  <c r="C10" i="6" s="1"/>
  <c r="O8" i="4"/>
  <c r="E10" i="5" s="1"/>
  <c r="E10" i="6" s="1"/>
  <c r="P8" i="4"/>
  <c r="F10" i="5" s="1"/>
  <c r="F10" i="6" s="1"/>
  <c r="F9" i="5"/>
  <c r="F9" i="6" s="1"/>
  <c r="N7" i="4"/>
  <c r="L5" i="4"/>
  <c r="B5" i="5" s="1"/>
  <c r="B5" i="6" s="1"/>
  <c r="P6" i="4"/>
  <c r="F7" i="5" s="1"/>
  <c r="F7" i="6" s="1"/>
  <c r="L8" i="4"/>
  <c r="B10" i="5" s="1"/>
  <c r="B10" i="6" s="1"/>
  <c r="H5" i="5"/>
  <c r="H5" i="6" s="1"/>
  <c r="H7" i="5"/>
  <c r="H7" i="6" s="1"/>
  <c r="G3" i="6"/>
  <c r="G6" i="6"/>
  <c r="G9" i="6"/>
  <c r="H2" i="5"/>
  <c r="H2" i="6" s="1"/>
  <c r="L4" i="4"/>
  <c r="B4" i="5" s="1"/>
  <c r="B4" i="6" s="1"/>
  <c r="L7" i="4"/>
  <c r="M7" i="4"/>
  <c r="H4" i="5"/>
  <c r="H4" i="6" s="1"/>
  <c r="M4" i="4"/>
  <c r="C4" i="5" s="1"/>
  <c r="C4" i="6" s="1"/>
  <c r="N4" i="4"/>
  <c r="D4" i="5" s="1"/>
  <c r="D4" i="6" s="1"/>
  <c r="G8" i="6"/>
  <c r="O4" i="4"/>
  <c r="E4" i="5" s="1"/>
  <c r="E4" i="6" s="1"/>
  <c r="O7" i="4"/>
  <c r="L3" i="4"/>
  <c r="B3" i="5" s="1"/>
  <c r="B3" i="6" s="1"/>
  <c r="L6" i="4"/>
  <c r="B7" i="5" s="1"/>
  <c r="B7" i="6" s="1"/>
  <c r="M6" i="4"/>
  <c r="C7" i="5" s="1"/>
  <c r="C7" i="6" s="1"/>
  <c r="G10" i="6"/>
  <c r="E9" i="5" l="1"/>
  <c r="E9" i="6" s="1"/>
  <c r="C9" i="5"/>
  <c r="C9" i="6" s="1"/>
  <c r="D9" i="5"/>
  <c r="D9" i="6" s="1"/>
  <c r="B9" i="5"/>
  <c r="B9" i="6" s="1"/>
</calcChain>
</file>

<file path=xl/sharedStrings.xml><?xml version="1.0" encoding="utf-8"?>
<sst xmlns="http://schemas.openxmlformats.org/spreadsheetml/2006/main" count="169" uniqueCount="116">
  <si>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</si>
  <si>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</si>
  <si>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</si>
  <si>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</si>
  <si>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</si>
  <si>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</si>
  <si>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</si>
  <si>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</si>
  <si>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</si>
  <si>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</si>
  <si>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</si>
  <si>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</si>
  <si>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</si>
  <si>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</si>
  <si>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</si>
  <si>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</si>
  <si>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</si>
  <si>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</si>
  <si>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</si>
  <si>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</si>
  <si>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Test</t>
  </si>
  <si>
    <t>Use the existing Uwe Seeler Trophy row first.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</si>
  <si>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</si>
  <si>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</si>
  <si>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</si>
  <si>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</si>
  <si>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</si>
  <si>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</si>
  <si>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</si>
  <si>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</si>
  <si>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</si>
  <si>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</si>
  <si>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</si>
  <si>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</si>
  <si>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</si>
  <si>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</si>
  <si>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</si>
  <si>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</si>
  <si>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</si>
  <si>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</si>
  <si>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</si>
  <si>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</si>
  <si>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</si>
  <si>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</si>
  <si>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</si>
  <si>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</si>
  <si>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</si>
  <si>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</si>
  <si>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</si>
  <si>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</si>
  <si>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</si>
  <si>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</si>
  <si>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</si>
  <si>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</si>
  <si>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</si>
  <si>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</si>
  <si>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</si>
  <si>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</si>
  <si>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</si>
  <si>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</si>
  <si>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</si>
  <si>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</si>
  <si>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</si>
  <si>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</si>
  <si>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</si>
  <si>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</si>
  <si>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</si>
  <si>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</si>
  <si>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</si>
  <si>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</si>
  <si>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</si>
  <si>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</si>
  <si>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</si>
  <si>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</si>
  <si>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</si>
  <si>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</si>
  <si>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</si>
  <si>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</si>
  <si>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</si>
  <si>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</si>
  <si>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</si>
  <si>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</si>
  <si>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</si>
  <si>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</si>
  <si>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</si>
  <si>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</si>
  <si>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</si>
  <si>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</si>
  <si>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</si>
  <si>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</si>
  <si>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</si>
  <si>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</si>
  <si>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</si>
  <si>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</si>
  <si>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</si>
  <si>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</si>
  <si>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</si>
  <si>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</si>
  <si>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</si>
  <si>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</si>
  <si>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</si>
  <si>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Fixture shown on current page; result not entered here.</t>
  </si>
  <si>
    <t>1. FSV Mainz 05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</si>
  <si>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</si>
  <si>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</si>
  <si>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</si>
  <si>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</si>
  <si>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</si>
  <si>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</si>
  <si>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</si>
  <si>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</si>
  <si>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</si>
  <si>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</si>
  <si>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</si>
  <si>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</si>
  <si>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Bayern München 1 - VfB Stuttgart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</si>
</sst>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65" formatCode="yyyy\-mm\-dd"/>
  </numFmts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>
      <c r="A9" s="3" t="s">
        <v>20</v>
      </c>
      <c r="B9" s="3" t="s">
        <v>21</v>
      </c>
      <c r="C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spans="1:8">
      <c r="A2" t="s">
        <v>30</v>
      </c>
      <c r="B2" t="s">
        <v>31</v>
      </c>
      <c r="C2" t="s">
        <v>32</v>
      </c>
      <c r="D2" t="s">
        <v>33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34</v>
      </c>
      <c r="B3" t="s">
        <v>31</v>
      </c>
      <c r="C3" t="s">
        <v>35</v>
      </c>
      <c r="D3" t="s">
        <v>36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37</v>
      </c>
      <c r="B4" t="s">
        <v>31</v>
      </c>
      <c r="C4" t="s">
        <v>38</v>
      </c>
      <c r="D4" t="s">
        <v>36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39</v>
      </c>
      <c r="B5" t="s">
        <v>31</v>
      </c>
      <c r="C5" t="s">
        <v>40</v>
      </c>
      <c r="D5" t="s">
        <v>36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41</v>
      </c>
      <c r="B6" t="s">
        <v>31</v>
      </c>
      <c r="C6" t="s">
        <v>42</v>
      </c>
      <c r="D6" t="s">
        <v>43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44</v>
      </c>
      <c r="B7" t="s">
        <v>31</v>
      </c>
      <c r="C7" t="s">
        <v>45</v>
      </c>
      <c r="D7" t="s">
        <v>36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46</v>
      </c>
      <c r="B8" t="s">
        <v>31</v>
      </c>
      <c r="C8" t="s">
        <v>47</v>
      </c>
      <c r="D8" t="s">
        <v>48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49</v>
      </c>
      <c r="B9" t="s">
        <v>50</v>
      </c>
      <c r="C9" t="s">
        <v>51</v>
      </c>
      <c r="D9" t="s">
        <v>52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53</v>
      </c>
      <c r="B10" t="s">
        <v>50</v>
      </c>
      <c r="C10" t="s">
        <v>54</v>
      </c>
      <c r="D10" t="s">
        <v>52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22</v>
      </c>
      <c r="B1" s="1" t="s">
        <v>55</v>
      </c>
      <c r="C1" s="1"/>
      <c r="D1" s="1" t="s">
        <v>56</v>
      </c>
      <c r="E1" s="1" t="s">
        <v>57</v>
      </c>
    </row>
    <row r="2" spans="1:5">
      <c r="A2" t="s">
        <v>30</v>
      </c>
      <c r="B2" t="s">
        <v>58</v>
      </c>
      <c r="D2" t="s">
        <v>59</v>
      </c>
      <c r="E2" t="s">
        <v>60</v>
      </c>
    </row>
    <row r="3" spans="1:5">
      <c r="A3" t="s">
        <v>34</v>
      </c>
      <c r="B3" t="s">
        <v>61</v>
      </c>
      <c r="D3" t="s">
        <v>62</v>
      </c>
      <c r="E3" t="s">
        <v>63</v>
      </c>
    </row>
    <row r="4" spans="1:5">
      <c r="A4" t="s">
        <v>37</v>
      </c>
      <c r="B4" t="s">
        <v>64</v>
      </c>
      <c r="D4" t="s">
        <v>65</v>
      </c>
      <c r="E4" t="s">
        <v>66</v>
      </c>
    </row>
    <row r="5" spans="1:5">
      <c r="A5" t="s">
        <v>39</v>
      </c>
      <c r="B5" t="s">
        <v>67</v>
      </c>
      <c r="D5" t="s">
        <v>68</v>
      </c>
      <c r="E5" t="s">
        <v>69</v>
      </c>
    </row>
    <row r="6" spans="1:5">
      <c r="A6" t="s">
        <v>41</v>
      </c>
      <c r="B6" t="s">
        <v>70</v>
      </c>
      <c r="D6" t="s">
        <v>71</v>
      </c>
    </row>
    <row r="7" spans="1:5">
      <c r="A7" t="s">
        <v>44</v>
      </c>
      <c r="B7" t="s">
        <v>72</v>
      </c>
    </row>
    <row r="8" spans="1:5">
      <c r="A8" t="s">
        <v>46</v>
      </c>
      <c r="B8" t="s">
        <v>73</v>
      </c>
    </row>
    <row r="9" spans="1:5">
      <c r="A9" t="s">
        <v>49</v>
      </c>
      <c r="B9" t="s">
        <v>74</v>
      </c>
    </row>
    <row r="10" spans="1:5">
      <c r="A10" t="s">
        <v>53</v>
      </c>
      <c r="B10" t="s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99"/>
  <sheetViews>
    <sheetView tabSelected="1" workbookViewId="0">
      <selection activeCell="A9" sqref="A9:XFD9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</cols>
  <sheetData>
    <row r="1" spans="1:17" ht="30">
      <c r="A1" s="2" t="s">
        <v>76</v>
      </c>
      <c r="B1" s="2" t="s">
        <v>22</v>
      </c>
      <c r="C1" s="2" t="s">
        <v>77</v>
      </c>
      <c r="D1" s="2" t="s">
        <v>78</v>
      </c>
      <c r="E1" s="2" t="s">
        <v>79</v>
      </c>
      <c r="F1" s="2" t="s">
        <v>56</v>
      </c>
      <c r="G1" s="2" t="s">
        <v>57</v>
      </c>
      <c r="H1" s="2" t="s">
        <v>80</v>
      </c>
      <c r="I1" s="2" t="s">
        <v>81</v>
      </c>
      <c r="J1" s="2" t="s">
        <v>82</v>
      </c>
      <c r="K1" s="2" t="s">
        <v>83</v>
      </c>
      <c r="L1" s="2" t="s">
        <v>84</v>
      </c>
      <c r="M1" s="2" t="s">
        <v>85</v>
      </c>
      <c r="N1" s="2" t="s">
        <v>86</v>
      </c>
      <c r="O1" s="2" t="s">
        <v>87</v>
      </c>
      <c r="P1" s="2" t="s">
        <v>88</v>
      </c>
      <c r="Q1" s="2" t="s">
        <v>89</v>
      </c>
    </row>
    <row r="2" spans="1:17">
      <c r="A2" s="6" t="str">
        <f>IF(OR(B2="",C2=""),"",VLOOKUP(B2,Lists!$A$2:$B$10,2,FALSE)&amp;"-"&amp;TEXT(C2,"yyyymmdd")&amp;"-01")</f>
        <v>CBB-20261009-01</v>
      </c>
      <c r="B2" s="5" t="s">
        <v>30</v>
      </c>
      <c r="C2" s="7">
        <v>46304</v>
      </c>
      <c r="D2" s="5" t="s">
        <v>36</v>
      </c>
      <c r="E2" s="5" t="s">
        <v>90</v>
      </c>
      <c r="F2" s="5" t="s">
        <v>59</v>
      </c>
      <c r="G2" s="5"/>
      <c r="H2" s="5"/>
      <c r="I2" s="5"/>
      <c r="J2" s="6" t="str">
        <f>IF(B2="","",VLOOKUP(B2,Baseline!$A$2:$H$10,4,FALSE))</f>
        <v>South Africa</v>
      </c>
      <c r="K2" s="6" t="str">
        <f t="shared" ref="K2:K32" si="0">IF(B2="","",IF(F2&lt;&gt;"Completed",F2,IF(G2="Challenger win","Transfer",IF(OR(G2="Holder win",G2="Draw / tie"),"Defence",IF(G2="No result","No result","REVIEW")))))</f>
        <v>Scheduled</v>
      </c>
      <c r="L2" s="6" t="str">
        <f t="shared" ref="L2:L32" si="1">IF(B2="","",IF(K2="Transfer",D2,J2))</f>
        <v>South Africa</v>
      </c>
      <c r="M2" s="8">
        <f>IF(B2="","",IF(K2="Transfer",C2,VLOOKUP(B2,Baseline!$A$2:$H$10,5,FALSE)))</f>
        <v>45953</v>
      </c>
      <c r="N2" s="6">
        <f>IF(B2="","",IF(K2="Transfer",0,VLOOKUP(B2,Baseline!$A$2:$H$10,6,FALSE)+IF(K2="Defence",1,0)))</f>
        <v>2</v>
      </c>
      <c r="O2" s="6">
        <f>IF(B2="","",VLOOKUP(B2,Baseline!$A$2:$H$10,7,FALSE)+IF(K2="Transfer",1,0))</f>
        <v>172</v>
      </c>
      <c r="P2" s="6">
        <f>IF(B2="","",VLOOKUP(B2,Baseline!$A$2:$H$10,8,FALSE)+IF(K2="Defence",1,0))</f>
        <v>270</v>
      </c>
      <c r="Q2" s="5"/>
    </row>
    <row r="3" spans="1:17">
      <c r="A3" s="6" t="str">
        <f>IF(OR(B3="",C3=""),"",VLOOKUP(B3,Lists!$A$2:$B$10,2,FALSE)&amp;"-"&amp;TEXT(C3,"yyyymmdd")&amp;"-"&amp;TEXT(COUNTIFS($B$2:B3,B3,$C$2:C3,C3),"00"))</f>
        <v>MMM-20270624-01</v>
      </c>
      <c r="B3" s="5" t="s">
        <v>34</v>
      </c>
      <c r="C3" s="7">
        <v>46562</v>
      </c>
      <c r="D3" s="5" t="s">
        <v>91</v>
      </c>
      <c r="E3" s="5" t="s">
        <v>92</v>
      </c>
      <c r="F3" s="5" t="s">
        <v>59</v>
      </c>
      <c r="G3" s="5"/>
      <c r="H3" s="5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IF(B3="","",IF(K3="Transfer",C3,IFERROR(LOOKUP(2,1/($B$2:B2=B3),$M$2:M2),VLOOKUP(B3,Baseline!$A$2:$H$10,5,FALSE))))</f>
        <v>46089</v>
      </c>
      <c r="N3" s="6">
        <f>IF(B3="","",IF(K3="Transfer",0,IFERROR(LOOKUP(2,1/($B$2:B2=B3),$N$2:N2),VLOOKUP(B3,Baseline!$A$2:$H$10,6,FALSE))+IF(K3="Defence",1,0)))</f>
        <v>0</v>
      </c>
      <c r="O3" s="6">
        <f>IF(B3="","",IFERROR(LOOKUP(2,1/($B$2:B2=B3),$O$2:O2),VLOOKUP(B3,Baseline!$A$2:$H$10,7,FALSE))+IF(K3="Transfer",1,0))</f>
        <v>8</v>
      </c>
      <c r="P3" s="6">
        <f>IF(B3="","",IFERROR(LOOKUP(2,1/($B$2:B2=B3),$P$2:P2),VLOOKUP(B3,Baseline!$A$2:$H$10,8,FALSE))+IF(K3="Defence",1,0))</f>
        <v>4</v>
      </c>
      <c r="Q3" s="5" t="s">
        <v>93</v>
      </c>
    </row>
    <row r="4" spans="1:17">
      <c r="A4" s="6" t="str">
        <f>IF(OR(B4="",C4=""),"",VLOOKUP(B4,Lists!$A$2:$B$10,2,FALSE)&amp;"-"&amp;TEXT(C4,"yyyymmdd")&amp;"-"&amp;TEXT(COUNTIFS($B$2:B4,B4,$C$2:C4,C4),"00"))</f>
        <v>JEJ-20260915-01</v>
      </c>
      <c r="B4" s="5" t="s">
        <v>37</v>
      </c>
      <c r="C4" s="7">
        <v>46280</v>
      </c>
      <c r="D4" s="5" t="s">
        <v>94</v>
      </c>
      <c r="E4" s="5" t="s">
        <v>95</v>
      </c>
      <c r="F4" s="5" t="s">
        <v>59</v>
      </c>
      <c r="G4" s="5"/>
      <c r="H4" s="5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IF(B4="","",IF(K4="Transfer",C4,IFERROR(LOOKUP(2,1/($B$2:B3=B4),$M$2:M3),VLOOKUP(B4,Baseline!$A$2:$H$10,5,FALSE))))</f>
        <v>46187</v>
      </c>
      <c r="N4" s="6">
        <f>IF(B4="","",IF(K4="Transfer",0,IFERROR(LOOKUP(2,1/($B$2:B3=B4),$N$2:N3),VLOOKUP(B4,Baseline!$A$2:$H$10,6,FALSE))+IF(K4="Defence",1,0)))</f>
        <v>0</v>
      </c>
      <c r="O4" s="6">
        <f>IF(B4="","",IFERROR(LOOKUP(2,1/($B$2:B3=B4),$O$2:O3),VLOOKUP(B4,Baseline!$A$2:$H$10,7,FALSE))+IF(K4="Transfer",1,0))</f>
        <v>358</v>
      </c>
      <c r="P4" s="6">
        <f>IF(B4="","",IFERROR(LOOKUP(2,1/($B$2:B3=B4),$P$2:P3),VLOOKUP(B4,Baseline!$A$2:$H$10,8,FALSE))+IF(K4="Defence",1,0))</f>
        <v>596</v>
      </c>
      <c r="Q4" s="5"/>
    </row>
    <row r="5" spans="1:17">
      <c r="A5" s="6" t="str">
        <f>IF(OR(B5="",C5=""),"",VLOOKUP(B5,Lists!$A$2:$B$10,2,FALSE)&amp;"-"&amp;TEXT(C5,"yyyymmdd")&amp;"-"&amp;TEXT(COUNTIFS($B$2:B5,B5,$C$2:C5,C5),"00"))</f>
        <v>TMT-20261009-01</v>
      </c>
      <c r="B5" s="5" t="s">
        <v>39</v>
      </c>
      <c r="C5" s="7">
        <v>46304</v>
      </c>
      <c r="D5" s="5" t="s">
        <v>96</v>
      </c>
      <c r="E5" s="5" t="s">
        <v>97</v>
      </c>
      <c r="F5" s="5" t="s">
        <v>59</v>
      </c>
      <c r="G5" s="5"/>
      <c r="H5" s="5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IF(B5="","",IF(K5="Transfer",C5,IFERROR(LOOKUP(2,1/($B$2:B4=B5),$M$2:M4),VLOOKUP(B5,Baseline!$A$2:$H$10,5,FALSE))))</f>
        <v>46077</v>
      </c>
      <c r="N5" s="6">
        <f>IF(B5="","",IF(K5="Transfer",0,IFERROR(LOOKUP(2,1/($B$2:B4=B5),$N$2:N4),VLOOKUP(B5,Baseline!$A$2:$H$10,6,FALSE))+IF(K5="Defence",1,0)))</f>
        <v>5</v>
      </c>
      <c r="O5" s="6">
        <f>IF(B5="","",IFERROR(LOOKUP(2,1/($B$2:B4=B5),$O$2:O4),VLOOKUP(B5,Baseline!$A$2:$H$10,7,FALSE))+IF(K5="Transfer",1,0))</f>
        <v>120</v>
      </c>
      <c r="P5" s="6">
        <f>IF(B5="","",IFERROR(LOOKUP(2,1/($B$2:B4=B5),$P$2:P4),VLOOKUP(B5,Baseline!$A$2:$H$10,8,FALSE))+IF(K5="Defence",1,0))</f>
        <v>251</v>
      </c>
      <c r="Q5" s="5"/>
    </row>
    <row r="6" spans="1:17">
      <c r="A6" s="6" t="str">
        <f>IF(OR(B6="",C6=""),"",VLOOKUP(B6,Lists!$A$2:$B$10,2,FALSE)&amp;"-"&amp;TEXT(C6,"yyyymmdd")&amp;"-"&amp;TEXT(COUNTIFS($B$2:B6,B6,$C$2:C6,C6),"00"))</f>
        <v>RRR-20261018-01</v>
      </c>
      <c r="B6" s="5" t="s">
        <v>44</v>
      </c>
      <c r="C6" s="7">
        <v>46313</v>
      </c>
      <c r="D6" s="5" t="s">
        <v>98</v>
      </c>
      <c r="E6" s="5" t="s">
        <v>99</v>
      </c>
      <c r="F6" s="5" t="s">
        <v>59</v>
      </c>
      <c r="G6" s="5"/>
      <c r="H6" s="5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IF(B6="","",IF(K6="Transfer",C6,IFERROR(LOOKUP(2,1/($B$2:B5=B6),$M$2:M5),VLOOKUP(B6,Baseline!$A$2:$H$10,5,FALSE))))</f>
        <v>46186</v>
      </c>
      <c r="N6" s="6">
        <f>IF(B6="","",IF(K6="Transfer",0,IFERROR(LOOKUP(2,1/($B$2:B5=B6),$N$2:N5),VLOOKUP(B6,Baseline!$A$2:$H$10,6,FALSE))+IF(K6="Defence",1,0)))</f>
        <v>6</v>
      </c>
      <c r="O6" s="6">
        <f>IF(B6="","",IFERROR(LOOKUP(2,1/($B$2:B5=B6),$O$2:O5),VLOOKUP(B6,Baseline!$A$2:$H$10,7,FALSE))+IF(K6="Transfer",1,0))</f>
        <v>76</v>
      </c>
      <c r="P6" s="6">
        <f>IF(B6="","",IFERROR(LOOKUP(2,1/($B$2:B5=B6),$P$2:P5),VLOOKUP(B6,Baseline!$A$2:$H$10,8,FALSE))+IF(K6="Defence",1,0))</f>
        <v>139</v>
      </c>
      <c r="Q6" s="5"/>
    </row>
    <row r="7" spans="1:17">
      <c r="A7" s="6" t="str">
        <f>IF(OR(B7="",C7=""),"",VLOOKUP(B7,Lists!$A$2:$B$10,2,FALSE)&amp;"-"&amp;TEXT(C7,"yyyymmdd")&amp;"-"&amp;TEXT(COUNTIFS($B$2:B7,B7,$C$2:C7,C7),"00"))</f>
        <v>UST-20260828-01</v>
      </c>
      <c r="B7" s="5" t="s">
        <v>49</v>
      </c>
      <c r="C7" s="7">
        <v>46262</v>
      </c>
      <c r="D7" s="5" t="s">
        <v>100</v>
      </c>
      <c r="E7" s="5"/>
      <c r="F7" s="5" t="s">
        <v>65</v>
      </c>
      <c r="G7" s="5" t="s">
        <v>63</v>
      </c>
      <c r="H7" t="s">
        <v>115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Transfer</v>
      </c>
      <c r="L7" s="6" t="str">
        <f t="shared" si="1"/>
        <v>VfB Stuttgart</v>
      </c>
      <c r="M7" s="8">
        <f>IF(B7="","",IF(K7="Transfer",C7,IFERROR(LOOKUP(2,1/($B$2:B6=B7),$M$2:M6),VLOOKUP(B7,Baseline!$A$2:$H$10,5,FALSE))))</f>
        <v>46262</v>
      </c>
      <c r="N7" s="6">
        <f>IF(B7="","",IF(K7="Transfer",0,IFERROR(LOOKUP(2,1/($B$2:B6=B7),$N$2:N6),VLOOKUP(B7,Baseline!$A$2:$H$10,6,FALSE))+IF(K7="Defence",1,0)))</f>
        <v>0</v>
      </c>
      <c r="O7" s="6">
        <f>IF(B7="","",IFERROR(LOOKUP(2,1/($B$2:B6=B7),$O$2:O6),VLOOKUP(B7,Baseline!$A$2:$H$10,7,FALSE))+IF(K7="Transfer",1,0))</f>
        <v>682</v>
      </c>
      <c r="P7" s="6">
        <f>IF(B7="","",IFERROR(LOOKUP(2,1/($B$2:B6=B7),$P$2:P6),VLOOKUP(B7,Baseline!$A$2:$H$10,8,FALSE))+IF(K7="Defence",1,0))</f>
        <v>1442</v>
      </c>
      <c r="Q7" s="5" t="s">
        <v>101</v>
      </c>
    </row>
    <row r="8" spans="1:17">
      <c r="A8" s="6" t="str">
        <f>IF(OR(B8="",C8=""),"",VLOOKUP(B8,Lists!$A$2:$B$10,2,FALSE)&amp;"-"&amp;TEXT(C8,"yyyymmdd")&amp;"-"&amp;TEXT(COUNTIFS($B$2:B8,B8,$C$2:C8,C8),"00"))</f>
        <v>HMP-20260831-01</v>
      </c>
      <c r="B8" s="5" t="s">
        <v>53</v>
      </c>
      <c r="C8" s="7">
        <v>46265</v>
      </c>
      <c r="D8" s="5" t="s">
        <v>102</v>
      </c>
      <c r="E8" s="5"/>
      <c r="F8" s="5" t="s">
        <v>59</v>
      </c>
      <c r="G8" s="5"/>
      <c r="H8" s="5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IF(B8="","",IF(K8="Transfer",C8,IFERROR(LOOKUP(2,1/($B$2:B7=B8),$M$2:M7),VLOOKUP(B8,Baseline!$A$2:$H$10,5,FALSE))))</f>
        <v>45730</v>
      </c>
      <c r="N8" s="6">
        <f>IF(B8="","",IF(K8="Transfer",0,IFERROR(LOOKUP(2,1/($B$2:B7=B8),$N$2:N7),VLOOKUP(B8,Baseline!$A$2:$H$10,6,FALSE))+IF(K8="Defence",1,0)))</f>
        <v>32</v>
      </c>
      <c r="O8" s="6">
        <f>IF(B8="","",IFERROR(LOOKUP(2,1/($B$2:B7=B8),$O$2:O7),VLOOKUP(B8,Baseline!$A$2:$H$10,7,FALSE))+IF(K8="Transfer",1,0))</f>
        <v>113</v>
      </c>
      <c r="P8" s="6">
        <f>IF(B8="","",IFERROR(LOOKUP(2,1/($B$2:B7=B8),$P$2:P7),VLOOKUP(B8,Baseline!$A$2:$H$10,8,FALSE))+IF(K8="Defence",1,0))</f>
        <v>655</v>
      </c>
      <c r="Q8" s="5"/>
    </row>
    <row r="9" spans="1:17">
      <c r="A9" s="6" t="str">
        <f>IF(OR(B9="",C9=""),"",VLOOKUP(B9,Lists!$A$2:$B$10,2,FALSE)&amp;"-"&amp;TEXT(C9,"yyyymmdd")&amp;"-"&amp;TEXT(COUNTIFS($B$2:B9,B9,$C$2:C9,C9),"00"))</f>
        <v/>
      </c>
      <c r="B9" s="5"/>
      <c r="C9" s="7"/>
      <c r="D9" s="5"/>
      <c r="E9" s="5"/>
      <c r="F9" s="5"/>
      <c r="G9" s="5"/>
      <c r="H9" s="5"/>
      <c r="I9" s="5"/>
      <c r="J9" s="6" t="str">
        <f>IF(B9="","",IFERROR(LOOKUP(2,1/($B$2:B8=B9),$L$2:L8),VLOOKUP(B9,Baseline!$A$2:$H$10,4,FALSE)))</f>
        <v/>
      </c>
      <c r="K9" s="6" t="str">
        <f t="shared" si="0"/>
        <v/>
      </c>
      <c r="L9" s="6" t="str">
        <f t="shared" si="1"/>
        <v/>
      </c>
      <c r="M9" s="8" t="str">
        <f>IF(B9="","",IF(K9="Transfer",C9,IFERROR(LOOKUP(2,1/($B$2:B8=B9),$M$2:M8),VLOOKUP(B9,Baseline!$A$2:$H$10,5,FALSE))))</f>
        <v/>
      </c>
      <c r="N9" s="6" t="str">
        <f>IF(B9="","",IF(K9="Transfer",0,IFERROR(LOOKUP(2,1/($B$2:B8=B9),$N$2:N8),VLOOKUP(B9,Baseline!$A$2:$H$10,6,FALSE))+IF(K9="Defence",1,0)))</f>
        <v/>
      </c>
      <c r="O9" s="6" t="str">
        <f>IF(B9="","",IFERROR(LOOKUP(2,1/($B$2:B8=B9),$O$2:O8),VLOOKUP(B9,Baseline!$A$2:$H$10,7,FALSE))+IF(K9="Transfer",1,0))</f>
        <v/>
      </c>
      <c r="P9" s="6" t="str">
        <f>IF(B9="","",IFERROR(LOOKUP(2,1/($B$2:B8=B9),$P$2:P8),VLOOKUP(B9,Baseline!$A$2:$H$10,8,FALSE))+IF(K9="Defence",1,0))</f>
        <v/>
      </c>
      <c r="Q9" s="5"/>
    </row>
    <row r="10" spans="1:17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5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</row>
    <row r="11" spans="1:17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5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</row>
    <row r="12" spans="1:17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5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</row>
    <row r="13" spans="1:17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5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</row>
    <row r="14" spans="1:17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5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</row>
    <row r="15" spans="1:17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5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</row>
    <row r="16" spans="1:17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5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</row>
    <row r="17" spans="1:17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5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</row>
    <row r="18" spans="1:17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5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</row>
    <row r="19" spans="1:17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5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</row>
    <row r="20" spans="1:17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5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</row>
    <row r="21" spans="1:17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5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</row>
    <row r="22" spans="1:17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5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</row>
    <row r="23" spans="1:17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5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</row>
    <row r="24" spans="1:17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5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</row>
    <row r="25" spans="1:17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5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</row>
    <row r="26" spans="1:17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5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</row>
    <row r="27" spans="1:17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5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</row>
    <row r="28" spans="1:17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5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</row>
    <row r="29" spans="1:17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5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</row>
    <row r="30" spans="1:17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5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</row>
    <row r="31" spans="1:17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5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</row>
    <row r="32" spans="1:17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5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</row>
    <row r="33" spans="1:17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5"/>
      <c r="I33" s="5"/>
      <c r="J33" s="6" t="str">
        <f>IF(B33="","",IFERROR(LOOKUP(2,1/($B$2:B32=B33),$L$2:L32),VLOOKUP(B33,Baseline!$A$2:$H$10,4,FALSE)))</f>
        <v/>
      </c>
      <c r="K33" s="6" t="str">
        <f t="shared" ref="K33:K64" si="2">IF(B33="","",IF(F33&lt;&gt;"Completed",F33,IF(G33="Challenger win","Transfer",IF(OR(G33="Holder win",G33="Draw / tie"),"Defence",IF(G33="No result","No result","REVIEW")))))</f>
        <v/>
      </c>
      <c r="L33" s="6" t="str">
        <f t="shared" ref="L33:L64" si="3">IF(B33="","",IF(K33="Transfer",D33,J33))</f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</row>
    <row r="34" spans="1:17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5"/>
      <c r="I34" s="5"/>
      <c r="J34" s="6" t="str">
        <f>IF(B34="","",IFERROR(LOOKUP(2,1/($B$2:B33=B34),$L$2:L33),VLOOKUP(B34,Baseline!$A$2:$H$10,4,FALSE)))</f>
        <v/>
      </c>
      <c r="K34" s="6" t="str">
        <f t="shared" si="2"/>
        <v/>
      </c>
      <c r="L34" s="6" t="str">
        <f t="shared" si="3"/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</row>
    <row r="35" spans="1:17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5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</row>
    <row r="36" spans="1:17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5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</row>
    <row r="37" spans="1:17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5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</row>
    <row r="38" spans="1:17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5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</row>
    <row r="39" spans="1:17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5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</row>
    <row r="40" spans="1:17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5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</row>
    <row r="41" spans="1:17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5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</row>
    <row r="42" spans="1:17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5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</row>
    <row r="43" spans="1:17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5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</row>
    <row r="44" spans="1:17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5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</row>
    <row r="45" spans="1:17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5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</row>
    <row r="46" spans="1:17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5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</row>
    <row r="47" spans="1:17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5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</row>
    <row r="48" spans="1:17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5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</row>
    <row r="49" spans="1:17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5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</row>
    <row r="50" spans="1:17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5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</row>
    <row r="51" spans="1:17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5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</row>
    <row r="52" spans="1:17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5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</row>
    <row r="53" spans="1:17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5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</row>
    <row r="54" spans="1:17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5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</row>
    <row r="55" spans="1:17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5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</row>
    <row r="56" spans="1:17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5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</row>
    <row r="57" spans="1:17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5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</row>
    <row r="58" spans="1:17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5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</row>
    <row r="59" spans="1:17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5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</row>
    <row r="60" spans="1:17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5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</row>
    <row r="61" spans="1:17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5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</row>
    <row r="62" spans="1:17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5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</row>
    <row r="63" spans="1:17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5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</row>
    <row r="64" spans="1:17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5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</row>
    <row r="65" spans="1:17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5"/>
      <c r="I65" s="5"/>
      <c r="J65" s="6" t="str">
        <f>IF(B65="","",IFERROR(LOOKUP(2,1/($B$2:B64=B65),$L$2:L64),VLOOKUP(B65,Baseline!$A$2:$H$10,4,FALSE)))</f>
        <v/>
      </c>
      <c r="K65" s="6" t="str">
        <f t="shared" ref="K65:K99" si="4">IF(B65="","",IF(F65&lt;&gt;"Completed",F65,IF(G65="Challenger win","Transfer",IF(OR(G65="Holder win",G65="Draw / tie"),"Defence",IF(G65="No result","No result","REVIEW")))))</f>
        <v/>
      </c>
      <c r="L65" s="6" t="str">
        <f t="shared" ref="L65:L96" si="5">IF(B65="","",IF(K65="Transfer",D65,J65))</f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</row>
    <row r="66" spans="1:17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5"/>
      <c r="I66" s="5"/>
      <c r="J66" s="6" t="str">
        <f>IF(B66="","",IFERROR(LOOKUP(2,1/($B$2:B65=B66),$L$2:L65),VLOOKUP(B66,Baseline!$A$2:$H$10,4,FALSE)))</f>
        <v/>
      </c>
      <c r="K66" s="6" t="str">
        <f t="shared" si="4"/>
        <v/>
      </c>
      <c r="L66" s="6" t="str">
        <f t="shared" si="5"/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</row>
    <row r="67" spans="1:17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5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</row>
    <row r="68" spans="1:17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5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</row>
    <row r="69" spans="1:17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5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</row>
    <row r="70" spans="1:17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5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</row>
    <row r="71" spans="1:17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5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</row>
    <row r="72" spans="1:17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5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</row>
    <row r="73" spans="1:17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5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</row>
    <row r="74" spans="1:17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5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</row>
    <row r="75" spans="1:17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5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</row>
    <row r="76" spans="1:17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5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</row>
    <row r="77" spans="1:17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5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</row>
    <row r="78" spans="1:17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5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</row>
    <row r="79" spans="1:17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5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</row>
    <row r="80" spans="1:17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5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</row>
    <row r="81" spans="1:17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5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</row>
    <row r="82" spans="1:17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5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</row>
    <row r="83" spans="1:17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5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</row>
    <row r="84" spans="1:17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5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</row>
    <row r="85" spans="1:17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5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</row>
    <row r="86" spans="1:17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5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</row>
    <row r="87" spans="1:17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5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</row>
    <row r="88" spans="1:17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5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</row>
    <row r="89" spans="1:17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5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</row>
    <row r="90" spans="1:17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5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</row>
    <row r="91" spans="1:17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5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</row>
    <row r="92" spans="1:17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5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</row>
    <row r="93" spans="1:17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5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</row>
    <row r="94" spans="1:17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5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</row>
    <row r="95" spans="1:17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5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</row>
    <row r="96" spans="1:17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5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</row>
    <row r="97" spans="1:17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5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ref="L97:L99" si="6">IF(B97="","",IF(K97="Transfer",D97,J97))</f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</row>
    <row r="98" spans="1:17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5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si="6"/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</row>
    <row r="99" spans="1:17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5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</row>
  </sheetData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F2:F99</xm:sqref>
        </x14:dataValidation>
        <x14:dataValidation type="list" xr:uid="{00000000-0002-0000-0300-000001000000}">
          <x14:formula1>
            <xm:f>Lists!$E$2:$E$5</xm:f>
          </x14:formula1>
          <xm:sqref>G2:G99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>
      <selection activeCell="A9" sqref="A9:H9"/>
    </sheetView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22</v>
      </c>
      <c r="B1" s="1" t="s">
        <v>103</v>
      </c>
      <c r="C1" s="1" t="s">
        <v>104</v>
      </c>
      <c r="D1" s="1" t="s">
        <v>27</v>
      </c>
      <c r="E1" s="1" t="s">
        <v>28</v>
      </c>
      <c r="F1" s="1" t="s">
        <v>29</v>
      </c>
      <c r="G1" s="1" t="s">
        <v>105</v>
      </c>
      <c r="H1" s="1" t="s">
        <v>106</v>
      </c>
    </row>
    <row r="2" spans="1:8">
      <c r="A2" t="s">
        <v>30</v>
      </c>
      <c r="B2" t="str">
        <f>IFERROR(LOOKUP(2,1/(Updates!$B$2:$B$99=A2),Updates!$L$2:$L$99),VLOOKUP(A2,Baseline!$A$2:$H$10,4,FALSE))</f>
        <v>South Africa</v>
      </c>
      <c r="C2" s="4">
        <f>IFERROR(LOOKUP(2,1/(Updates!$B$2:$B$99=A2),Updates!$M$2:$M$99),VLOOKUP(A2,Baseline!$A$2:$H$10,5,FALSE))</f>
        <v>45953</v>
      </c>
      <c r="D2">
        <f>IFERROR(LOOKUP(2,1/(Updates!$B$2:$B$99=A2),Updates!$N$2:$N$99),VLOOKUP(A2,Baseline!$A$2:$H$10,6,FALSE))</f>
        <v>2</v>
      </c>
      <c r="E2">
        <f>IFERROR(LOOKUP(2,1/(Updates!$B$2:$B$99=A2),Updates!$O$2:$O$99),VLOOKUP(A2,Baseline!$A$2:$H$10,7,FALSE))</f>
        <v>172</v>
      </c>
      <c r="F2">
        <f>IFERROR(LOOKUP(2,1/(Updates!$B$2:$B$99=A2),Updates!$P$2:$P$99),VLOOKUP(A2,Baseline!$A$2:$H$10,8,FALSE))</f>
        <v>270</v>
      </c>
      <c r="G2" s="4">
        <f>IFERROR(LOOKUP(2,1/((Updates!$B$2:$B$99=A2)*(Updates!$F$2:$F$99&lt;&gt;"Completed")*(Updates!$F$2:$F$99&lt;&gt;"Cancelled")*(Updates!$F$2:$F$99&lt;&gt;"Postponed")),Updates!$C$2:$C$99),"TBD")</f>
        <v>46304</v>
      </c>
      <c r="H2" t="str">
        <f>IF(G2="TBD","TBD",IFERROR(LOOKUP(2,1/((Updates!$B$2:$B$99=A2)*(Updates!$C$2:$C$99=G2)),Updates!$D$2:$D$99),"TBD"))</f>
        <v>Australia</v>
      </c>
    </row>
    <row r="3" spans="1:8">
      <c r="A3" t="s">
        <v>34</v>
      </c>
      <c r="B3" t="str">
        <f>IFERROR(LOOKUP(2,1/(Updates!$B$2:$B$99=A3),Updates!$L$2:$L$99),VLOOKUP(A3,Baseline!$A$2:$H$10,4,FALSE))</f>
        <v>Australia</v>
      </c>
      <c r="C3" s="4">
        <f>IFERROR(LOOKUP(2,1/(Updates!$B$2:$B$99=A3),Updates!$M$2:$M$99),VLOOKUP(A3,Baseline!$A$2:$H$10,5,FALSE))</f>
        <v>46089</v>
      </c>
      <c r="D3">
        <f>IFERROR(LOOKUP(2,1/(Updates!$B$2:$B$99=A3),Updates!$N$2:$N$99),VLOOKUP(A3,Baseline!$A$2:$H$10,6,FALSE))</f>
        <v>0</v>
      </c>
      <c r="E3">
        <f>IFERROR(LOOKUP(2,1/(Updates!$B$2:$B$99=A3),Updates!$O$2:$O$99),VLOOKUP(A3,Baseline!$A$2:$H$10,7,FALSE))</f>
        <v>8</v>
      </c>
      <c r="F3">
        <f>IFERROR(LOOKUP(2,1/(Updates!$B$2:$B$99=A3),Updates!$P$2:$P$99),VLOOKUP(A3,Baseline!$A$2:$H$10,8,FALSE))</f>
        <v>4</v>
      </c>
      <c r="G3" s="4">
        <f>IFERROR(LOOKUP(2,1/((Updates!$B$2:$B$99=A3)*(Updates!$F$2:$F$99&lt;&gt;"Completed")*(Updates!$F$2:$F$99&lt;&gt;"Cancelled")*(Updates!$F$2:$F$99&lt;&gt;"Postponed")),Updates!$C$2:$C$99),"TBD")</f>
        <v>46562</v>
      </c>
      <c r="H3" t="str">
        <f>IF(G3="TBD","TBD",IFERROR(LOOKUP(2,1/((Updates!$B$2:$B$99=A3)*(Updates!$C$2:$C$99=G3)),Updates!$D$2:$D$99),"TBD"))</f>
        <v>England</v>
      </c>
    </row>
    <row r="4" spans="1:8">
      <c r="A4" t="s">
        <v>37</v>
      </c>
      <c r="B4" t="str">
        <f>IFERROR(LOOKUP(2,1/(Updates!$B$2:$B$99=A4),Updates!$L$2:$L$99),VLOOKUP(A4,Baseline!$A$2:$H$10,4,FALSE))</f>
        <v>Australia</v>
      </c>
      <c r="C4" s="4">
        <f>IFERROR(LOOKUP(2,1/(Updates!$B$2:$B$99=A4),Updates!$M$2:$M$99),VLOOKUP(A4,Baseline!$A$2:$H$10,5,FALSE))</f>
        <v>46187</v>
      </c>
      <c r="D4">
        <f>IFERROR(LOOKUP(2,1/(Updates!$B$2:$B$99=A4),Updates!$N$2:$N$99),VLOOKUP(A4,Baseline!$A$2:$H$10,6,FALSE))</f>
        <v>0</v>
      </c>
      <c r="E4">
        <f>IFERROR(LOOKUP(2,1/(Updates!$B$2:$B$99=A4),Updates!$O$2:$O$99),VLOOKUP(A4,Baseline!$A$2:$H$10,7,FALSE))</f>
        <v>358</v>
      </c>
      <c r="F4">
        <f>IFERROR(LOOKUP(2,1/(Updates!$B$2:$B$99=A4),Updates!$P$2:$P$99),VLOOKUP(A4,Baseline!$A$2:$H$10,8,FALSE))</f>
        <v>596</v>
      </c>
      <c r="G4" s="4">
        <f>IFERROR(LOOKUP(2,1/((Updates!$B$2:$B$99=A4)*(Updates!$F$2:$F$99&lt;&gt;"Completed")*(Updates!$F$2:$F$99&lt;&gt;"Cancelled")*(Updates!$F$2:$F$99&lt;&gt;"Postponed")),Updates!$C$2:$C$99),"TBD")</f>
        <v>46280</v>
      </c>
      <c r="H4" t="str">
        <f>IF(G4="TBD","TBD",IFERROR(LOOKUP(2,1/((Updates!$B$2:$B$99=A4)*(Updates!$C$2:$C$99=G4)),Updates!$D$2:$D$99),"TBD"))</f>
        <v>Zimbabwe</v>
      </c>
    </row>
    <row r="5" spans="1:8">
      <c r="A5" t="s">
        <v>39</v>
      </c>
      <c r="B5" t="str">
        <f>IFERROR(LOOKUP(2,1/(Updates!$B$2:$B$99=A5),Updates!$L$2:$L$99),VLOOKUP(A5,Baseline!$A$2:$H$10,4,FALSE))</f>
        <v>Australia</v>
      </c>
      <c r="C5" s="4">
        <f>IFERROR(LOOKUP(2,1/(Updates!$B$2:$B$99=A5),Updates!$M$2:$M$99),VLOOKUP(A5,Baseline!$A$2:$H$10,5,FALSE))</f>
        <v>46077</v>
      </c>
      <c r="D5">
        <f>IFERROR(LOOKUP(2,1/(Updates!$B$2:$B$99=A5),Updates!$N$2:$N$99),VLOOKUP(A5,Baseline!$A$2:$H$10,6,FALSE))</f>
        <v>5</v>
      </c>
      <c r="E5">
        <f>IFERROR(LOOKUP(2,1/(Updates!$B$2:$B$99=A5),Updates!$O$2:$O$99),VLOOKUP(A5,Baseline!$A$2:$H$10,7,FALSE))</f>
        <v>120</v>
      </c>
      <c r="F5">
        <f>IFERROR(LOOKUP(2,1/(Updates!$B$2:$B$99=A5),Updates!$P$2:$P$99),VLOOKUP(A5,Baseline!$A$2:$H$10,8,FALSE))</f>
        <v>251</v>
      </c>
      <c r="G5" s="4">
        <f>IFERROR(LOOKUP(2,1/((Updates!$B$2:$B$99=A5)*(Updates!$F$2:$F$99&lt;&gt;"Completed")*(Updates!$F$2:$F$99&lt;&gt;"Cancelled")*(Updates!$F$2:$F$99&lt;&gt;"Postponed")),Updates!$C$2:$C$99),"TBD")</f>
        <v>46304</v>
      </c>
      <c r="H5" t="str">
        <f>IF(G5="TBD","TBD",IFERROR(LOOKUP(2,1/((Updates!$B$2:$B$99=A5)*(Updates!$C$2:$C$99=G5)),Updates!$D$2:$D$99),"TBD"))</f>
        <v>Bangladesh</v>
      </c>
    </row>
    <row r="6" spans="1:8">
      <c r="A6" t="s">
        <v>41</v>
      </c>
      <c r="B6" t="str">
        <f>IFERROR(LOOKUP(2,1/(Updates!$B$2:$B$99=A6),Updates!$L$2:$L$99),VLOOKUP(A6,Baseline!$A$2:$H$10,4,FALSE))</f>
        <v>Ireland</v>
      </c>
      <c r="C6" s="4">
        <f>IFERROR(LOOKUP(2,1/(Updates!$B$2:$B$99=A6),Updates!$M$2:$M$99),VLOOKUP(A6,Baseline!$A$2:$H$10,5,FALSE))</f>
        <v>46199</v>
      </c>
      <c r="D6">
        <f>IFERROR(LOOKUP(2,1/(Updates!$B$2:$B$99=A6),Updates!$N$2:$N$99),VLOOKUP(A6,Baseline!$A$2:$H$10,6,FALSE))</f>
        <v>1</v>
      </c>
      <c r="E6">
        <f>IFERROR(LOOKUP(2,1/(Updates!$B$2:$B$99=A6),Updates!$O$2:$O$99),VLOOKUP(A6,Baseline!$A$2:$H$10,7,FALSE))</f>
        <v>89</v>
      </c>
      <c r="F6">
        <f>IFERROR(LOOKUP(2,1/(Updates!$B$2:$B$99=A6),Updates!$P$2:$P$99),VLOOKUP(A6,Baseline!$A$2:$H$10,8,FALSE))</f>
        <v>152</v>
      </c>
      <c r="G6" s="4" t="str">
        <f>IFERROR(LOOKUP(2,1/((Updates!$B$2:$B$99=A6)*(Updates!$F$2:$F$99&lt;&gt;"Completed")*(Updates!$F$2:$F$99&lt;&gt;"Cancelled")*(Updates!$F$2:$F$99&lt;&gt;"Postponed")),Updates!$C$2:$C$99),"TBD")</f>
        <v>TBD</v>
      </c>
      <c r="H6" t="str">
        <f>IF(G6="TBD","TBD",IFERROR(LOOKUP(2,1/((Updates!$B$2:$B$99=A6)*(Updates!$C$2:$C$99=G6)),Updates!$D$2:$D$99),"TBD"))</f>
        <v>TBD</v>
      </c>
    </row>
    <row r="7" spans="1:8">
      <c r="A7" t="s">
        <v>44</v>
      </c>
      <c r="B7" t="str">
        <f>IFERROR(LOOKUP(2,1/(Updates!$B$2:$B$99=A7),Updates!$L$2:$L$99),VLOOKUP(A7,Baseline!$A$2:$H$10,4,FALSE))</f>
        <v>Australia</v>
      </c>
      <c r="C7" s="4">
        <f>IFERROR(LOOKUP(2,1/(Updates!$B$2:$B$99=A7),Updates!$M$2:$M$99),VLOOKUP(A7,Baseline!$A$2:$H$10,5,FALSE))</f>
        <v>46186</v>
      </c>
      <c r="D7">
        <f>IFERROR(LOOKUP(2,1/(Updates!$B$2:$B$99=A7),Updates!$N$2:$N$99),VLOOKUP(A7,Baseline!$A$2:$H$10,6,FALSE))</f>
        <v>6</v>
      </c>
      <c r="E7">
        <f>IFERROR(LOOKUP(2,1/(Updates!$B$2:$B$99=A7),Updates!$O$2:$O$99),VLOOKUP(A7,Baseline!$A$2:$H$10,7,FALSE))</f>
        <v>76</v>
      </c>
      <c r="F7">
        <f>IFERROR(LOOKUP(2,1/(Updates!$B$2:$B$99=A7),Updates!$P$2:$P$99),VLOOKUP(A7,Baseline!$A$2:$H$10,8,FALSE))</f>
        <v>139</v>
      </c>
      <c r="G7" s="4">
        <f>IFERROR(LOOKUP(2,1/((Updates!$B$2:$B$99=A7)*(Updates!$F$2:$F$99&lt;&gt;"Completed")*(Updates!$F$2:$F$99&lt;&gt;"Cancelled")*(Updates!$F$2:$F$99&lt;&gt;"Postponed")),Updates!$C$2:$C$99),"TBD")</f>
        <v>46313</v>
      </c>
      <c r="H7" t="str">
        <f>IF(G7="TBD","TBD",IFERROR(LOOKUP(2,1/((Updates!$B$2:$B$99=A7)*(Updates!$C$2:$C$99=G7)),Updates!$D$2:$D$99),"TBD"))</f>
        <v>New Zealand</v>
      </c>
    </row>
    <row r="8" spans="1:8">
      <c r="A8" t="s">
        <v>46</v>
      </c>
      <c r="B8" t="str">
        <f>IFERROR(LOOKUP(2,1/(Updates!$B$2:$B$99=A8),Updates!$L$2:$L$99),VLOOKUP(A8,Baseline!$A$2:$H$10,4,FALSE))</f>
        <v>Royal Challengers Bengaluru</v>
      </c>
      <c r="C8" s="4">
        <f>IFERROR(LOOKUP(2,1/(Updates!$B$2:$B$99=A8),Updates!$M$2:$M$99),VLOOKUP(A8,Baseline!$A$2:$H$10,5,FALSE))</f>
        <v>46173</v>
      </c>
      <c r="D8">
        <f>IFERROR(LOOKUP(2,1/(Updates!$B$2:$B$99=A8),Updates!$N$2:$N$99),VLOOKUP(A8,Baseline!$A$2:$H$10,6,FALSE))</f>
        <v>0</v>
      </c>
      <c r="E8">
        <f>IFERROR(LOOKUP(2,1/(Updates!$B$2:$B$99=A8),Updates!$O$2:$O$99),VLOOKUP(A8,Baseline!$A$2:$H$10,7,FALSE))</f>
        <v>150</v>
      </c>
      <c r="F8">
        <f>IFERROR(LOOKUP(2,1/(Updates!$B$2:$B$99=A8),Updates!$P$2:$P$99),VLOOKUP(A8,Baseline!$A$2:$H$10,8,FALSE))</f>
        <v>125</v>
      </c>
      <c r="G8" s="4" t="str">
        <f>IFERROR(LOOKUP(2,1/((Updates!$B$2:$B$99=A8)*(Updates!$F$2:$F$99&lt;&gt;"Completed")*(Updates!$F$2:$F$99&lt;&gt;"Cancelled")*(Updates!$F$2:$F$99&lt;&gt;"Postponed")),Updates!$C$2:$C$99),"TBD")</f>
        <v>TBD</v>
      </c>
      <c r="H8" t="str">
        <f>IF(G8="TBD","TBD",IFERROR(LOOKUP(2,1/((Updates!$B$2:$B$99=A8)*(Updates!$C$2:$C$99=G8)),Updates!$D$2:$D$99),"TBD"))</f>
        <v>TBD</v>
      </c>
    </row>
    <row r="9" spans="1:8">
      <c r="A9" t="s">
        <v>49</v>
      </c>
      <c r="B9" t="str">
        <f>IFERROR(LOOKUP(2,1/(Updates!$B$2:$B$99=A9),Updates!$L$2:$L$99),VLOOKUP(A9,Baseline!$A$2:$H$10,4,FALSE))</f>
        <v>VfB Stuttgart</v>
      </c>
      <c r="C9" s="4">
        <f>IFERROR(LOOKUP(2,1/(Updates!$B$2:$B$99=A9),Updates!$M$2:$M$99),VLOOKUP(A9,Baseline!$A$2:$H$10,5,FALSE))</f>
        <v>46262</v>
      </c>
      <c r="D9">
        <f>IFERROR(LOOKUP(2,1/(Updates!$B$2:$B$99=A9),Updates!$N$2:$N$99),VLOOKUP(A9,Baseline!$A$2:$H$10,6,FALSE))</f>
        <v>0</v>
      </c>
      <c r="E9">
        <f>IFERROR(LOOKUP(2,1/(Updates!$B$2:$B$99=A9),Updates!$O$2:$O$99),VLOOKUP(A9,Baseline!$A$2:$H$10,7,FALSE))</f>
        <v>682</v>
      </c>
      <c r="F9">
        <f>IFERROR(LOOKUP(2,1/(Updates!$B$2:$B$99=A9),Updates!$P$2:$P$99),VLOOKUP(A9,Baseline!$A$2:$H$10,8,FALSE))</f>
        <v>1442</v>
      </c>
      <c r="G9" s="4" t="str">
        <f>IFERROR(LOOKUP(2,1/((Updates!$B$2:$B$99=A9)*(Updates!$F$2:$F$99&lt;&gt;"Completed")*(Updates!$F$2:$F$99&lt;&gt;"Cancelled")*(Updates!$F$2:$F$99&lt;&gt;"Postponed")),Updates!$C$2:$C$99),"TBD")</f>
        <v>TBD</v>
      </c>
      <c r="H9" t="str">
        <f>IF(G9="TBD","TBD",IFERROR(LOOKUP(2,1/((Updates!$B$2:$B$99=A9)*(Updates!$C$2:$C$99=G9)),Updates!$D$2:$D$99),"TBD"))</f>
        <v>TBD</v>
      </c>
    </row>
    <row r="10" spans="1:8">
      <c r="A10" t="s">
        <v>53</v>
      </c>
      <c r="B10" t="str">
        <f>IFERROR(LOOKUP(2,1/(Updates!$B$2:$B$99=A10),Updates!$L$2:$L$99),VLOOKUP(A10,Baseline!$A$2:$H$10,4,FALSE))</f>
        <v>Bayern München</v>
      </c>
      <c r="C10" s="4">
        <f>IFERROR(LOOKUP(2,1/(Updates!$B$2:$B$99=A10),Updates!$M$2:$M$99),VLOOKUP(A10,Baseline!$A$2:$H$10,5,FALSE))</f>
        <v>45730</v>
      </c>
      <c r="D10">
        <f>IFERROR(LOOKUP(2,1/(Updates!$B$2:$B$99=A10),Updates!$N$2:$N$99),VLOOKUP(A10,Baseline!$A$2:$H$10,6,FALSE))</f>
        <v>32</v>
      </c>
      <c r="E10">
        <f>IFERROR(LOOKUP(2,1/(Updates!$B$2:$B$99=A10),Updates!$O$2:$O$99),VLOOKUP(A10,Baseline!$A$2:$H$10,7,FALSE))</f>
        <v>113</v>
      </c>
      <c r="F10">
        <f>IFERROR(LOOKUP(2,1/(Updates!$B$2:$B$99=A10),Updates!$P$2:$P$99),VLOOKUP(A10,Baseline!$A$2:$H$10,8,FALSE))</f>
        <v>655</v>
      </c>
      <c r="G10" s="4">
        <f>IFERROR(LOOKUP(2,1/((Updates!$B$2:$B$99=A10)*(Updates!$F$2:$F$99&lt;&gt;"Completed")*(Updates!$F$2:$F$99&lt;&gt;"Cancelled")*(Updates!$F$2:$F$99&lt;&gt;"Postponed")),Updates!$C$2:$C$99),"TBD")</f>
        <v>46265</v>
      </c>
      <c r="H10" t="str">
        <f>IF(G10="TBD","TBD",IFERROR(LOOKUP(2,1/((Updates!$B$2:$B$99=A10)*(Updates!$C$2:$C$99=G10)),Updates!$D$2:$D$99),"TBD"))</f>
        <v>1. FSV Mainz 05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>
      <selection activeCell="A9" sqref="A9"/>
    </sheetView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107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46562</v>
      </c>
      <c r="H3" t="str">
        <f>Dashboard!H3</f>
        <v>England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VfB Stuttgart</v>
      </c>
      <c r="C9" s="9">
        <f>Dashboard!C9</f>
        <v>46262</v>
      </c>
      <c r="D9">
        <f>Dashboard!D9</f>
        <v>0</v>
      </c>
      <c r="E9">
        <f>Dashboard!E9</f>
        <v>682</v>
      </c>
      <c r="F9">
        <f>Dashboard!F9</f>
        <v>1442</v>
      </c>
      <c r="G9" s="9" t="str">
        <f>Dashboard!G9</f>
        <v>TBD</v>
      </c>
      <c r="H9" t="str">
        <f>Dashboard!H9</f>
        <v>TBD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2026-08-30T15:47:13Z</dcterms:modified>
</cp:coreProperties>
</file>