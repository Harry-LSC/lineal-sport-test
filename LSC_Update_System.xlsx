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\Desktop\Lineal Sport Championship\Live Update\"/>
    </mc:Choice>
  </mc:AlternateContent>
  <xr:revisionPtr revIDLastSave="0" documentId="13_ncr:1_{B7B6CC7F-0C70-4512-A4D6-D99D964E341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ART HERE" sheetId="1" r:id="rId1"/>
    <sheet name="Baseline" sheetId="2" r:id="rId2"/>
    <sheet name="Lists" sheetId="3" r:id="rId3"/>
    <sheet name="Updates" sheetId="4" r:id="rId4"/>
    <sheet name="Dashboard" sheetId="5" r:id="rId5"/>
    <sheet name="Website Expo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6" l="1"/>
  <c r="A9" i="6"/>
  <c r="A8" i="6"/>
  <c r="A7" i="6"/>
  <c r="A6" i="6"/>
  <c r="A5" i="6"/>
  <c r="A4" i="6"/>
  <c r="A3" i="6"/>
  <c r="A2" i="6"/>
  <c r="G10" i="5"/>
  <c r="H10" i="5" s="1"/>
  <c r="H10" i="6" s="1"/>
  <c r="G9" i="5"/>
  <c r="H9" i="5" s="1"/>
  <c r="H9" i="6" s="1"/>
  <c r="G8" i="5"/>
  <c r="H8" i="5" s="1"/>
  <c r="H8" i="6" s="1"/>
  <c r="F8" i="5"/>
  <c r="F8" i="6" s="1"/>
  <c r="E8" i="5"/>
  <c r="E8" i="6" s="1"/>
  <c r="D8" i="5"/>
  <c r="D8" i="6" s="1"/>
  <c r="C8" i="5"/>
  <c r="C8" i="6" s="1"/>
  <c r="B8" i="5"/>
  <c r="B8" i="6" s="1"/>
  <c r="G7" i="5"/>
  <c r="G7" i="6" s="1"/>
  <c r="G6" i="5"/>
  <c r="H6" i="5" s="1"/>
  <c r="H6" i="6" s="1"/>
  <c r="F6" i="5"/>
  <c r="F6" i="6" s="1"/>
  <c r="E6" i="5"/>
  <c r="E6" i="6" s="1"/>
  <c r="D6" i="5"/>
  <c r="D6" i="6" s="1"/>
  <c r="C6" i="5"/>
  <c r="C6" i="6" s="1"/>
  <c r="B6" i="5"/>
  <c r="B6" i="6" s="1"/>
  <c r="G5" i="5"/>
  <c r="G5" i="6" s="1"/>
  <c r="G4" i="5"/>
  <c r="G4" i="6" s="1"/>
  <c r="G3" i="5"/>
  <c r="H3" i="5" s="1"/>
  <c r="H3" i="6" s="1"/>
  <c r="G2" i="5"/>
  <c r="G2" i="6" s="1"/>
  <c r="P100" i="4"/>
  <c r="O100" i="4"/>
  <c r="N100" i="4"/>
  <c r="M100" i="4"/>
  <c r="L100" i="4"/>
  <c r="K100" i="4"/>
  <c r="J100" i="4"/>
  <c r="A100" i="4"/>
  <c r="P99" i="4"/>
  <c r="O99" i="4"/>
  <c r="N99" i="4"/>
  <c r="M99" i="4"/>
  <c r="L99" i="4"/>
  <c r="K99" i="4"/>
  <c r="J99" i="4"/>
  <c r="A99" i="4"/>
  <c r="P98" i="4"/>
  <c r="O98" i="4"/>
  <c r="N98" i="4"/>
  <c r="M98" i="4"/>
  <c r="L98" i="4"/>
  <c r="K98" i="4"/>
  <c r="J98" i="4"/>
  <c r="A98" i="4"/>
  <c r="P97" i="4"/>
  <c r="O97" i="4"/>
  <c r="N97" i="4"/>
  <c r="M97" i="4"/>
  <c r="L97" i="4"/>
  <c r="K97" i="4"/>
  <c r="J97" i="4"/>
  <c r="A97" i="4"/>
  <c r="P96" i="4"/>
  <c r="O96" i="4"/>
  <c r="N96" i="4"/>
  <c r="M96" i="4"/>
  <c r="L96" i="4"/>
  <c r="K96" i="4"/>
  <c r="J96" i="4"/>
  <c r="A96" i="4"/>
  <c r="P95" i="4"/>
  <c r="O95" i="4"/>
  <c r="N95" i="4"/>
  <c r="M95" i="4"/>
  <c r="L95" i="4"/>
  <c r="K95" i="4"/>
  <c r="J95" i="4"/>
  <c r="A95" i="4"/>
  <c r="P94" i="4"/>
  <c r="O94" i="4"/>
  <c r="N94" i="4"/>
  <c r="M94" i="4"/>
  <c r="L94" i="4"/>
  <c r="K94" i="4"/>
  <c r="J94" i="4"/>
  <c r="A94" i="4"/>
  <c r="P93" i="4"/>
  <c r="O93" i="4"/>
  <c r="N93" i="4"/>
  <c r="M93" i="4"/>
  <c r="L93" i="4"/>
  <c r="K93" i="4"/>
  <c r="J93" i="4"/>
  <c r="A93" i="4"/>
  <c r="P92" i="4"/>
  <c r="O92" i="4"/>
  <c r="N92" i="4"/>
  <c r="M92" i="4"/>
  <c r="L92" i="4"/>
  <c r="K92" i="4"/>
  <c r="J92" i="4"/>
  <c r="A92" i="4"/>
  <c r="P91" i="4"/>
  <c r="O91" i="4"/>
  <c r="N91" i="4"/>
  <c r="M91" i="4"/>
  <c r="L91" i="4"/>
  <c r="K91" i="4"/>
  <c r="J91" i="4"/>
  <c r="A91" i="4"/>
  <c r="P90" i="4"/>
  <c r="O90" i="4"/>
  <c r="N90" i="4"/>
  <c r="M90" i="4"/>
  <c r="L90" i="4"/>
  <c r="K90" i="4"/>
  <c r="J90" i="4"/>
  <c r="A90" i="4"/>
  <c r="P89" i="4"/>
  <c r="O89" i="4"/>
  <c r="N89" i="4"/>
  <c r="M89" i="4"/>
  <c r="L89" i="4"/>
  <c r="K89" i="4"/>
  <c r="J89" i="4"/>
  <c r="A89" i="4"/>
  <c r="P88" i="4"/>
  <c r="O88" i="4"/>
  <c r="N88" i="4"/>
  <c r="M88" i="4"/>
  <c r="L88" i="4"/>
  <c r="K88" i="4"/>
  <c r="J88" i="4"/>
  <c r="A88" i="4"/>
  <c r="P87" i="4"/>
  <c r="O87" i="4"/>
  <c r="N87" i="4"/>
  <c r="M87" i="4"/>
  <c r="L87" i="4"/>
  <c r="K87" i="4"/>
  <c r="J87" i="4"/>
  <c r="A87" i="4"/>
  <c r="P86" i="4"/>
  <c r="O86" i="4"/>
  <c r="N86" i="4"/>
  <c r="M86" i="4"/>
  <c r="L86" i="4"/>
  <c r="K86" i="4"/>
  <c r="J86" i="4"/>
  <c r="A86" i="4"/>
  <c r="P85" i="4"/>
  <c r="O85" i="4"/>
  <c r="N85" i="4"/>
  <c r="M85" i="4"/>
  <c r="L85" i="4"/>
  <c r="K85" i="4"/>
  <c r="J85" i="4"/>
  <c r="A85" i="4"/>
  <c r="P84" i="4"/>
  <c r="O84" i="4"/>
  <c r="N84" i="4"/>
  <c r="M84" i="4"/>
  <c r="L84" i="4"/>
  <c r="K84" i="4"/>
  <c r="J84" i="4"/>
  <c r="A84" i="4"/>
  <c r="P83" i="4"/>
  <c r="O83" i="4"/>
  <c r="N83" i="4"/>
  <c r="M83" i="4"/>
  <c r="L83" i="4"/>
  <c r="K83" i="4"/>
  <c r="J83" i="4"/>
  <c r="A83" i="4"/>
  <c r="P82" i="4"/>
  <c r="O82" i="4"/>
  <c r="N82" i="4"/>
  <c r="M82" i="4"/>
  <c r="L82" i="4"/>
  <c r="K82" i="4"/>
  <c r="J82" i="4"/>
  <c r="A82" i="4"/>
  <c r="P81" i="4"/>
  <c r="O81" i="4"/>
  <c r="N81" i="4"/>
  <c r="M81" i="4"/>
  <c r="L81" i="4"/>
  <c r="K81" i="4"/>
  <c r="J81" i="4"/>
  <c r="A81" i="4"/>
  <c r="P80" i="4"/>
  <c r="O80" i="4"/>
  <c r="N80" i="4"/>
  <c r="M80" i="4"/>
  <c r="L80" i="4"/>
  <c r="K80" i="4"/>
  <c r="J80" i="4"/>
  <c r="A80" i="4"/>
  <c r="P79" i="4"/>
  <c r="O79" i="4"/>
  <c r="N79" i="4"/>
  <c r="M79" i="4"/>
  <c r="L79" i="4"/>
  <c r="K79" i="4"/>
  <c r="J79" i="4"/>
  <c r="A79" i="4"/>
  <c r="P78" i="4"/>
  <c r="O78" i="4"/>
  <c r="N78" i="4"/>
  <c r="M78" i="4"/>
  <c r="L78" i="4"/>
  <c r="K78" i="4"/>
  <c r="J78" i="4"/>
  <c r="A78" i="4"/>
  <c r="P77" i="4"/>
  <c r="O77" i="4"/>
  <c r="N77" i="4"/>
  <c r="M77" i="4"/>
  <c r="L77" i="4"/>
  <c r="K77" i="4"/>
  <c r="J77" i="4"/>
  <c r="A77" i="4"/>
  <c r="P76" i="4"/>
  <c r="O76" i="4"/>
  <c r="N76" i="4"/>
  <c r="M76" i="4"/>
  <c r="L76" i="4"/>
  <c r="K76" i="4"/>
  <c r="J76" i="4"/>
  <c r="A76" i="4"/>
  <c r="P75" i="4"/>
  <c r="O75" i="4"/>
  <c r="N75" i="4"/>
  <c r="M75" i="4"/>
  <c r="L75" i="4"/>
  <c r="K75" i="4"/>
  <c r="J75" i="4"/>
  <c r="A75" i="4"/>
  <c r="P74" i="4"/>
  <c r="O74" i="4"/>
  <c r="N74" i="4"/>
  <c r="M74" i="4"/>
  <c r="L74" i="4"/>
  <c r="K74" i="4"/>
  <c r="J74" i="4"/>
  <c r="A74" i="4"/>
  <c r="P73" i="4"/>
  <c r="O73" i="4"/>
  <c r="N73" i="4"/>
  <c r="M73" i="4"/>
  <c r="L73" i="4"/>
  <c r="K73" i="4"/>
  <c r="J73" i="4"/>
  <c r="A73" i="4"/>
  <c r="P72" i="4"/>
  <c r="O72" i="4"/>
  <c r="N72" i="4"/>
  <c r="M72" i="4"/>
  <c r="L72" i="4"/>
  <c r="K72" i="4"/>
  <c r="J72" i="4"/>
  <c r="A72" i="4"/>
  <c r="P71" i="4"/>
  <c r="O71" i="4"/>
  <c r="N71" i="4"/>
  <c r="M71" i="4"/>
  <c r="L71" i="4"/>
  <c r="K71" i="4"/>
  <c r="J71" i="4"/>
  <c r="A71" i="4"/>
  <c r="P70" i="4"/>
  <c r="O70" i="4"/>
  <c r="N70" i="4"/>
  <c r="M70" i="4"/>
  <c r="L70" i="4"/>
  <c r="K70" i="4"/>
  <c r="J70" i="4"/>
  <c r="A70" i="4"/>
  <c r="P69" i="4"/>
  <c r="O69" i="4"/>
  <c r="N69" i="4"/>
  <c r="M69" i="4"/>
  <c r="L69" i="4"/>
  <c r="K69" i="4"/>
  <c r="J69" i="4"/>
  <c r="A69" i="4"/>
  <c r="P68" i="4"/>
  <c r="O68" i="4"/>
  <c r="N68" i="4"/>
  <c r="M68" i="4"/>
  <c r="L68" i="4"/>
  <c r="K68" i="4"/>
  <c r="J68" i="4"/>
  <c r="A68" i="4"/>
  <c r="P67" i="4"/>
  <c r="O67" i="4"/>
  <c r="N67" i="4"/>
  <c r="M67" i="4"/>
  <c r="L67" i="4"/>
  <c r="K67" i="4"/>
  <c r="J67" i="4"/>
  <c r="A67" i="4"/>
  <c r="P66" i="4"/>
  <c r="O66" i="4"/>
  <c r="N66" i="4"/>
  <c r="M66" i="4"/>
  <c r="L66" i="4"/>
  <c r="K66" i="4"/>
  <c r="J66" i="4"/>
  <c r="A66" i="4"/>
  <c r="P65" i="4"/>
  <c r="O65" i="4"/>
  <c r="N65" i="4"/>
  <c r="M65" i="4"/>
  <c r="L65" i="4"/>
  <c r="K65" i="4"/>
  <c r="J65" i="4"/>
  <c r="A65" i="4"/>
  <c r="P64" i="4"/>
  <c r="O64" i="4"/>
  <c r="N64" i="4"/>
  <c r="M64" i="4"/>
  <c r="L64" i="4"/>
  <c r="K64" i="4"/>
  <c r="J64" i="4"/>
  <c r="A64" i="4"/>
  <c r="P63" i="4"/>
  <c r="O63" i="4"/>
  <c r="N63" i="4"/>
  <c r="M63" i="4"/>
  <c r="L63" i="4"/>
  <c r="K63" i="4"/>
  <c r="J63" i="4"/>
  <c r="A63" i="4"/>
  <c r="P62" i="4"/>
  <c r="O62" i="4"/>
  <c r="N62" i="4"/>
  <c r="M62" i="4"/>
  <c r="L62" i="4"/>
  <c r="K62" i="4"/>
  <c r="J62" i="4"/>
  <c r="A62" i="4"/>
  <c r="P61" i="4"/>
  <c r="O61" i="4"/>
  <c r="N61" i="4"/>
  <c r="M61" i="4"/>
  <c r="L61" i="4"/>
  <c r="K61" i="4"/>
  <c r="J61" i="4"/>
  <c r="A61" i="4"/>
  <c r="P60" i="4"/>
  <c r="O60" i="4"/>
  <c r="N60" i="4"/>
  <c r="M60" i="4"/>
  <c r="L60" i="4"/>
  <c r="K60" i="4"/>
  <c r="J60" i="4"/>
  <c r="A60" i="4"/>
  <c r="P59" i="4"/>
  <c r="O59" i="4"/>
  <c r="N59" i="4"/>
  <c r="M59" i="4"/>
  <c r="L59" i="4"/>
  <c r="K59" i="4"/>
  <c r="J59" i="4"/>
  <c r="A59" i="4"/>
  <c r="P58" i="4"/>
  <c r="O58" i="4"/>
  <c r="N58" i="4"/>
  <c r="M58" i="4"/>
  <c r="L58" i="4"/>
  <c r="K58" i="4"/>
  <c r="J58" i="4"/>
  <c r="A58" i="4"/>
  <c r="P57" i="4"/>
  <c r="O57" i="4"/>
  <c r="N57" i="4"/>
  <c r="M57" i="4"/>
  <c r="L57" i="4"/>
  <c r="K57" i="4"/>
  <c r="J57" i="4"/>
  <c r="A57" i="4"/>
  <c r="P56" i="4"/>
  <c r="O56" i="4"/>
  <c r="N56" i="4"/>
  <c r="M56" i="4"/>
  <c r="L56" i="4"/>
  <c r="K56" i="4"/>
  <c r="J56" i="4"/>
  <c r="A56" i="4"/>
  <c r="P55" i="4"/>
  <c r="O55" i="4"/>
  <c r="N55" i="4"/>
  <c r="M55" i="4"/>
  <c r="L55" i="4"/>
  <c r="K55" i="4"/>
  <c r="J55" i="4"/>
  <c r="A55" i="4"/>
  <c r="P54" i="4"/>
  <c r="O54" i="4"/>
  <c r="N54" i="4"/>
  <c r="M54" i="4"/>
  <c r="L54" i="4"/>
  <c r="K54" i="4"/>
  <c r="J54" i="4"/>
  <c r="A54" i="4"/>
  <c r="P53" i="4"/>
  <c r="O53" i="4"/>
  <c r="N53" i="4"/>
  <c r="M53" i="4"/>
  <c r="L53" i="4"/>
  <c r="K53" i="4"/>
  <c r="J53" i="4"/>
  <c r="A53" i="4"/>
  <c r="P52" i="4"/>
  <c r="O52" i="4"/>
  <c r="N52" i="4"/>
  <c r="M52" i="4"/>
  <c r="L52" i="4"/>
  <c r="K52" i="4"/>
  <c r="J52" i="4"/>
  <c r="A52" i="4"/>
  <c r="P51" i="4"/>
  <c r="O51" i="4"/>
  <c r="N51" i="4"/>
  <c r="M51" i="4"/>
  <c r="L51" i="4"/>
  <c r="K51" i="4"/>
  <c r="J51" i="4"/>
  <c r="A51" i="4"/>
  <c r="P50" i="4"/>
  <c r="O50" i="4"/>
  <c r="N50" i="4"/>
  <c r="M50" i="4"/>
  <c r="L50" i="4"/>
  <c r="K50" i="4"/>
  <c r="J50" i="4"/>
  <c r="A50" i="4"/>
  <c r="P49" i="4"/>
  <c r="O49" i="4"/>
  <c r="N49" i="4"/>
  <c r="M49" i="4"/>
  <c r="L49" i="4"/>
  <c r="K49" i="4"/>
  <c r="J49" i="4"/>
  <c r="A49" i="4"/>
  <c r="P48" i="4"/>
  <c r="O48" i="4"/>
  <c r="N48" i="4"/>
  <c r="M48" i="4"/>
  <c r="L48" i="4"/>
  <c r="K48" i="4"/>
  <c r="J48" i="4"/>
  <c r="A48" i="4"/>
  <c r="P47" i="4"/>
  <c r="O47" i="4"/>
  <c r="N47" i="4"/>
  <c r="M47" i="4"/>
  <c r="L47" i="4"/>
  <c r="K47" i="4"/>
  <c r="J47" i="4"/>
  <c r="A47" i="4"/>
  <c r="P46" i="4"/>
  <c r="O46" i="4"/>
  <c r="N46" i="4"/>
  <c r="M46" i="4"/>
  <c r="L46" i="4"/>
  <c r="K46" i="4"/>
  <c r="J46" i="4"/>
  <c r="A46" i="4"/>
  <c r="P45" i="4"/>
  <c r="O45" i="4"/>
  <c r="N45" i="4"/>
  <c r="M45" i="4"/>
  <c r="L45" i="4"/>
  <c r="K45" i="4"/>
  <c r="J45" i="4"/>
  <c r="A45" i="4"/>
  <c r="P44" i="4"/>
  <c r="O44" i="4"/>
  <c r="N44" i="4"/>
  <c r="M44" i="4"/>
  <c r="L44" i="4"/>
  <c r="K44" i="4"/>
  <c r="J44" i="4"/>
  <c r="A44" i="4"/>
  <c r="P43" i="4"/>
  <c r="O43" i="4"/>
  <c r="N43" i="4"/>
  <c r="M43" i="4"/>
  <c r="L43" i="4"/>
  <c r="K43" i="4"/>
  <c r="J43" i="4"/>
  <c r="A43" i="4"/>
  <c r="P42" i="4"/>
  <c r="O42" i="4"/>
  <c r="N42" i="4"/>
  <c r="M42" i="4"/>
  <c r="L42" i="4"/>
  <c r="K42" i="4"/>
  <c r="J42" i="4"/>
  <c r="A42" i="4"/>
  <c r="P41" i="4"/>
  <c r="O41" i="4"/>
  <c r="N41" i="4"/>
  <c r="M41" i="4"/>
  <c r="L41" i="4"/>
  <c r="K41" i="4"/>
  <c r="J41" i="4"/>
  <c r="A41" i="4"/>
  <c r="P40" i="4"/>
  <c r="O40" i="4"/>
  <c r="N40" i="4"/>
  <c r="M40" i="4"/>
  <c r="L40" i="4"/>
  <c r="K40" i="4"/>
  <c r="J40" i="4"/>
  <c r="A40" i="4"/>
  <c r="P39" i="4"/>
  <c r="O39" i="4"/>
  <c r="N39" i="4"/>
  <c r="M39" i="4"/>
  <c r="L39" i="4"/>
  <c r="K39" i="4"/>
  <c r="J39" i="4"/>
  <c r="A39" i="4"/>
  <c r="P38" i="4"/>
  <c r="O38" i="4"/>
  <c r="N38" i="4"/>
  <c r="M38" i="4"/>
  <c r="L38" i="4"/>
  <c r="K38" i="4"/>
  <c r="J38" i="4"/>
  <c r="A38" i="4"/>
  <c r="P37" i="4"/>
  <c r="O37" i="4"/>
  <c r="N37" i="4"/>
  <c r="M37" i="4"/>
  <c r="L37" i="4"/>
  <c r="K37" i="4"/>
  <c r="J37" i="4"/>
  <c r="A37" i="4"/>
  <c r="P36" i="4"/>
  <c r="O36" i="4"/>
  <c r="N36" i="4"/>
  <c r="M36" i="4"/>
  <c r="L36" i="4"/>
  <c r="K36" i="4"/>
  <c r="J36" i="4"/>
  <c r="A36" i="4"/>
  <c r="P35" i="4"/>
  <c r="O35" i="4"/>
  <c r="N35" i="4"/>
  <c r="M35" i="4"/>
  <c r="L35" i="4"/>
  <c r="K35" i="4"/>
  <c r="J35" i="4"/>
  <c r="A35" i="4"/>
  <c r="P34" i="4"/>
  <c r="O34" i="4"/>
  <c r="N34" i="4"/>
  <c r="M34" i="4"/>
  <c r="L34" i="4"/>
  <c r="K34" i="4"/>
  <c r="J34" i="4"/>
  <c r="A34" i="4"/>
  <c r="P33" i="4"/>
  <c r="O33" i="4"/>
  <c r="N33" i="4"/>
  <c r="M33" i="4"/>
  <c r="L33" i="4"/>
  <c r="K33" i="4"/>
  <c r="J33" i="4"/>
  <c r="A33" i="4"/>
  <c r="P32" i="4"/>
  <c r="O32" i="4"/>
  <c r="N32" i="4"/>
  <c r="M32" i="4"/>
  <c r="L32" i="4"/>
  <c r="K32" i="4"/>
  <c r="J32" i="4"/>
  <c r="A32" i="4"/>
  <c r="P31" i="4"/>
  <c r="O31" i="4"/>
  <c r="N31" i="4"/>
  <c r="M31" i="4"/>
  <c r="L31" i="4"/>
  <c r="K31" i="4"/>
  <c r="J31" i="4"/>
  <c r="A31" i="4"/>
  <c r="P30" i="4"/>
  <c r="O30" i="4"/>
  <c r="N30" i="4"/>
  <c r="M30" i="4"/>
  <c r="L30" i="4"/>
  <c r="K30" i="4"/>
  <c r="J30" i="4"/>
  <c r="A30" i="4"/>
  <c r="P29" i="4"/>
  <c r="O29" i="4"/>
  <c r="N29" i="4"/>
  <c r="M29" i="4"/>
  <c r="L29" i="4"/>
  <c r="K29" i="4"/>
  <c r="J29" i="4"/>
  <c r="A29" i="4"/>
  <c r="P28" i="4"/>
  <c r="O28" i="4"/>
  <c r="N28" i="4"/>
  <c r="M28" i="4"/>
  <c r="L28" i="4"/>
  <c r="K28" i="4"/>
  <c r="J28" i="4"/>
  <c r="A28" i="4"/>
  <c r="P27" i="4"/>
  <c r="O27" i="4"/>
  <c r="N27" i="4"/>
  <c r="M27" i="4"/>
  <c r="L27" i="4"/>
  <c r="K27" i="4"/>
  <c r="J27" i="4"/>
  <c r="A27" i="4"/>
  <c r="P26" i="4"/>
  <c r="O26" i="4"/>
  <c r="N26" i="4"/>
  <c r="M26" i="4"/>
  <c r="L26" i="4"/>
  <c r="K26" i="4"/>
  <c r="J26" i="4"/>
  <c r="A26" i="4"/>
  <c r="P25" i="4"/>
  <c r="O25" i="4"/>
  <c r="N25" i="4"/>
  <c r="M25" i="4"/>
  <c r="L25" i="4"/>
  <c r="K25" i="4"/>
  <c r="J25" i="4"/>
  <c r="A25" i="4"/>
  <c r="P24" i="4"/>
  <c r="O24" i="4"/>
  <c r="N24" i="4"/>
  <c r="M24" i="4"/>
  <c r="L24" i="4"/>
  <c r="K24" i="4"/>
  <c r="J24" i="4"/>
  <c r="A24" i="4"/>
  <c r="P23" i="4"/>
  <c r="O23" i="4"/>
  <c r="N23" i="4"/>
  <c r="M23" i="4"/>
  <c r="L23" i="4"/>
  <c r="K23" i="4"/>
  <c r="J23" i="4"/>
  <c r="A23" i="4"/>
  <c r="P22" i="4"/>
  <c r="O22" i="4"/>
  <c r="N22" i="4"/>
  <c r="M22" i="4"/>
  <c r="L22" i="4"/>
  <c r="K22" i="4"/>
  <c r="J22" i="4"/>
  <c r="A22" i="4"/>
  <c r="P21" i="4"/>
  <c r="O21" i="4"/>
  <c r="N21" i="4"/>
  <c r="M21" i="4"/>
  <c r="L21" i="4"/>
  <c r="K21" i="4"/>
  <c r="J21" i="4"/>
  <c r="A21" i="4"/>
  <c r="P20" i="4"/>
  <c r="O20" i="4"/>
  <c r="N20" i="4"/>
  <c r="M20" i="4"/>
  <c r="L20" i="4"/>
  <c r="K20" i="4"/>
  <c r="J20" i="4"/>
  <c r="A20" i="4"/>
  <c r="K19" i="4"/>
  <c r="P19" i="4" s="1"/>
  <c r="J19" i="4"/>
  <c r="A19" i="4"/>
  <c r="P18" i="4"/>
  <c r="O18" i="4"/>
  <c r="N18" i="4"/>
  <c r="M18" i="4"/>
  <c r="K18" i="4"/>
  <c r="L18" i="4" s="1"/>
  <c r="J18" i="4"/>
  <c r="A18" i="4"/>
  <c r="K17" i="4"/>
  <c r="A17" i="4"/>
  <c r="K16" i="4"/>
  <c r="A16" i="4"/>
  <c r="K15" i="4"/>
  <c r="A15" i="4"/>
  <c r="K14" i="4"/>
  <c r="M14" i="4" s="1"/>
  <c r="A14" i="4"/>
  <c r="K13" i="4"/>
  <c r="A13" i="4"/>
  <c r="K12" i="4"/>
  <c r="A12" i="4"/>
  <c r="K11" i="4"/>
  <c r="A11" i="4"/>
  <c r="K10" i="4"/>
  <c r="A10" i="4"/>
  <c r="K9" i="4"/>
  <c r="A9" i="4"/>
  <c r="P8" i="4"/>
  <c r="F10" i="5" s="1"/>
  <c r="F10" i="6" s="1"/>
  <c r="O8" i="4"/>
  <c r="E10" i="5" s="1"/>
  <c r="E10" i="6" s="1"/>
  <c r="N8" i="4"/>
  <c r="D10" i="5" s="1"/>
  <c r="D10" i="6" s="1"/>
  <c r="M8" i="4"/>
  <c r="C10" i="5" s="1"/>
  <c r="C10" i="6" s="1"/>
  <c r="K8" i="4"/>
  <c r="J8" i="4"/>
  <c r="A8" i="4"/>
  <c r="K7" i="4"/>
  <c r="P7" i="4" s="1"/>
  <c r="J7" i="4"/>
  <c r="A7" i="4"/>
  <c r="M6" i="4"/>
  <c r="C7" i="5" s="1"/>
  <c r="C7" i="6" s="1"/>
  <c r="K6" i="4"/>
  <c r="O6" i="4" s="1"/>
  <c r="E7" i="5" s="1"/>
  <c r="E7" i="6" s="1"/>
  <c r="J6" i="4"/>
  <c r="A6" i="4"/>
  <c r="K5" i="4"/>
  <c r="P5" i="4" s="1"/>
  <c r="J5" i="4"/>
  <c r="A5" i="4"/>
  <c r="K4" i="4"/>
  <c r="P4" i="4" s="1"/>
  <c r="J4" i="4"/>
  <c r="A4" i="4"/>
  <c r="M3" i="4"/>
  <c r="C3" i="5" s="1"/>
  <c r="C3" i="6" s="1"/>
  <c r="K3" i="4"/>
  <c r="N3" i="4" s="1"/>
  <c r="D3" i="5" s="1"/>
  <c r="D3" i="6" s="1"/>
  <c r="J3" i="4"/>
  <c r="A3" i="4"/>
  <c r="P2" i="4"/>
  <c r="F2" i="5" s="1"/>
  <c r="F2" i="6" s="1"/>
  <c r="N2" i="4"/>
  <c r="D2" i="5" s="1"/>
  <c r="D2" i="6" s="1"/>
  <c r="K2" i="4"/>
  <c r="L2" i="4" s="1"/>
  <c r="J2" i="4"/>
  <c r="A2" i="4"/>
  <c r="N19" i="4" l="1"/>
  <c r="L19" i="4"/>
  <c r="M19" i="4"/>
  <c r="O19" i="4"/>
  <c r="B2" i="5"/>
  <c r="B2" i="6" s="1"/>
  <c r="M2" i="4"/>
  <c r="C2" i="5" s="1"/>
  <c r="C2" i="6" s="1"/>
  <c r="O2" i="4"/>
  <c r="E2" i="5" s="1"/>
  <c r="E2" i="6" s="1"/>
  <c r="P10" i="4"/>
  <c r="P16" i="4"/>
  <c r="P17" i="4" s="1"/>
  <c r="F5" i="5" s="1"/>
  <c r="F5" i="6" s="1"/>
  <c r="L8" i="4"/>
  <c r="B10" i="5" s="1"/>
  <c r="B10" i="6" s="1"/>
  <c r="O5" i="4"/>
  <c r="O16" i="4" s="1"/>
  <c r="O17" i="4" s="1"/>
  <c r="M5" i="4"/>
  <c r="M16" i="4" s="1"/>
  <c r="M17" i="4" s="1"/>
  <c r="N5" i="4"/>
  <c r="N16" i="4" s="1"/>
  <c r="N17" i="4" s="1"/>
  <c r="N15" i="4"/>
  <c r="M15" i="4"/>
  <c r="N14" i="4"/>
  <c r="L14" i="4"/>
  <c r="J15" i="4" s="1"/>
  <c r="L15" i="4" s="1"/>
  <c r="L12" i="4"/>
  <c r="J13" i="4" s="1"/>
  <c r="L13" i="4" s="1"/>
  <c r="J14" i="4" s="1"/>
  <c r="M12" i="4"/>
  <c r="M13" i="4" s="1"/>
  <c r="N12" i="4"/>
  <c r="N13" i="4" s="1"/>
  <c r="P11" i="4"/>
  <c r="P12" i="4" s="1"/>
  <c r="P13" i="4" s="1"/>
  <c r="P14" i="4" s="1"/>
  <c r="P15" i="4" s="1"/>
  <c r="F4" i="5" s="1"/>
  <c r="F4" i="6" s="1"/>
  <c r="L5" i="4"/>
  <c r="N6" i="4"/>
  <c r="D7" i="5" s="1"/>
  <c r="D7" i="6" s="1"/>
  <c r="O3" i="4"/>
  <c r="E3" i="5" s="1"/>
  <c r="E3" i="6" s="1"/>
  <c r="P3" i="4"/>
  <c r="F3" i="5" s="1"/>
  <c r="F3" i="6" s="1"/>
  <c r="P6" i="4"/>
  <c r="F7" i="5" s="1"/>
  <c r="F7" i="6" s="1"/>
  <c r="P9" i="4"/>
  <c r="F9" i="5" s="1"/>
  <c r="F9" i="6" s="1"/>
  <c r="H5" i="5"/>
  <c r="H5" i="6" s="1"/>
  <c r="H7" i="5"/>
  <c r="H7" i="6" s="1"/>
  <c r="G3" i="6"/>
  <c r="G6" i="6"/>
  <c r="G9" i="6"/>
  <c r="H2" i="5"/>
  <c r="H2" i="6" s="1"/>
  <c r="L4" i="4"/>
  <c r="J10" i="4" s="1"/>
  <c r="L10" i="4" s="1"/>
  <c r="J11" i="4" s="1"/>
  <c r="L11" i="4" s="1"/>
  <c r="J12" i="4" s="1"/>
  <c r="L7" i="4"/>
  <c r="J9" i="4" s="1"/>
  <c r="L9" i="4" s="1"/>
  <c r="B9" i="5" s="1"/>
  <c r="B9" i="6" s="1"/>
  <c r="M4" i="4"/>
  <c r="C4" i="5" s="1"/>
  <c r="C4" i="6" s="1"/>
  <c r="M7" i="4"/>
  <c r="M9" i="4" s="1"/>
  <c r="C9" i="5" s="1"/>
  <c r="C9" i="6" s="1"/>
  <c r="G8" i="6"/>
  <c r="H4" i="5"/>
  <c r="H4" i="6" s="1"/>
  <c r="N4" i="4"/>
  <c r="D4" i="5" s="1"/>
  <c r="D4" i="6" s="1"/>
  <c r="N7" i="4"/>
  <c r="N9" i="4" s="1"/>
  <c r="D9" i="5" s="1"/>
  <c r="D9" i="6" s="1"/>
  <c r="O4" i="4"/>
  <c r="O10" i="4" s="1"/>
  <c r="O11" i="4" s="1"/>
  <c r="O12" i="4" s="1"/>
  <c r="O13" i="4" s="1"/>
  <c r="O14" i="4" s="1"/>
  <c r="O15" i="4" s="1"/>
  <c r="O7" i="4"/>
  <c r="O9" i="4" s="1"/>
  <c r="E9" i="5" s="1"/>
  <c r="E9" i="6" s="1"/>
  <c r="L3" i="4"/>
  <c r="B3" i="5" s="1"/>
  <c r="B3" i="6" s="1"/>
  <c r="L6" i="4"/>
  <c r="B7" i="5" s="1"/>
  <c r="B7" i="6" s="1"/>
  <c r="G10" i="6"/>
  <c r="B5" i="5" l="1"/>
  <c r="B5" i="6" s="1"/>
  <c r="J16" i="4"/>
  <c r="L16" i="4" s="1"/>
  <c r="J17" i="4" s="1"/>
  <c r="L17" i="4" s="1"/>
  <c r="N10" i="4"/>
  <c r="N11" i="4" s="1"/>
  <c r="M10" i="4"/>
  <c r="M11" i="4" s="1"/>
  <c r="D5" i="5"/>
  <c r="D5" i="6" s="1"/>
  <c r="C5" i="5"/>
  <c r="C5" i="6" s="1"/>
  <c r="E5" i="5"/>
  <c r="E5" i="6" s="1"/>
  <c r="E4" i="5"/>
  <c r="E4" i="6" s="1"/>
  <c r="B4" i="5"/>
  <c r="B4" i="6" s="1"/>
</calcChain>
</file>

<file path=xl/sharedStrings.xml><?xml version="1.0" encoding="utf-8"?>
<sst xmlns="http://schemas.openxmlformats.org/spreadsheetml/2006/main" count="232" uniqueCount="135">
  <si>
    <t>LSC UPDATE SYSTEM — SAFE TEST</t>
  </si>
  <si>
    <t>Purpose</t>
  </si>
  <si>
    <t>Test Excel → export → GitHub → test website</t>
  </si>
  <si>
    <t>Rule</t>
  </si>
  <si>
    <t>Only type real match/fixture facts in Updates.</t>
  </si>
  <si>
    <t>1</t>
  </si>
  <si>
    <t>Known next defence</t>
  </si>
  <si>
    <t>Add a new row. If unknown, do nothing: TBD is standard.</t>
  </si>
  <si>
    <t>2</t>
  </si>
  <si>
    <t>Match completed</t>
  </si>
  <si>
    <t>Change Status to Completed; enter Result Type and Score.</t>
  </si>
  <si>
    <t>3</t>
  </si>
  <si>
    <t>Successful defence</t>
  </si>
  <si>
    <t>Use Holder win, or Draw / tie where appropriate.</t>
  </si>
  <si>
    <t>4</t>
  </si>
  <si>
    <t>Transfer</t>
  </si>
  <si>
    <t>Use Challenger win.</t>
  </si>
  <si>
    <t>5</t>
  </si>
  <si>
    <t>Do not edit</t>
  </si>
  <si>
    <t>Grey calculated columns.</t>
  </si>
  <si>
    <t>Championship</t>
  </si>
  <si>
    <t>Sport</t>
  </si>
  <si>
    <t>Competition</t>
  </si>
  <si>
    <t>Baseline Holder</t>
  </si>
  <si>
    <t>Baseline Since</t>
  </si>
  <si>
    <t>Current Defences</t>
  </si>
  <si>
    <t>Transfers</t>
  </si>
  <si>
    <t>Total Defences</t>
  </si>
  <si>
    <t>Charles Bannerman Belt</t>
  </si>
  <si>
    <t>Cricket</t>
  </si>
  <si>
    <t>Men's Test</t>
  </si>
  <si>
    <t>South Africa</t>
  </si>
  <si>
    <t>Myrtle Maclagan Medal</t>
  </si>
  <si>
    <t>Women's Test</t>
  </si>
  <si>
    <t>Australia</t>
  </si>
  <si>
    <t>John Edrich Jug</t>
  </si>
  <si>
    <t>Men's ODI</t>
  </si>
  <si>
    <t>Tina Macpherson Trophy</t>
  </si>
  <si>
    <t>Women's ODI</t>
  </si>
  <si>
    <t>Ricky Ponting Ribbon</t>
  </si>
  <si>
    <t>Men's T20I</t>
  </si>
  <si>
    <t>Ireland</t>
  </si>
  <si>
    <t>Rebecca Rolls Ribbon</t>
  </si>
  <si>
    <t>Women's T20I</t>
  </si>
  <si>
    <t>Yusuf Pathan Plate</t>
  </si>
  <si>
    <t>IPL</t>
  </si>
  <si>
    <t>Royal Challengers Bengaluru</t>
  </si>
  <si>
    <t>Uwe Seeler Trophy</t>
  </si>
  <si>
    <t>Football</t>
  </si>
  <si>
    <t>Bundesliga</t>
  </si>
  <si>
    <t>Bayern München</t>
  </si>
  <si>
    <t>Heidi Mohr Pott</t>
  </si>
  <si>
    <t>Frauen-Bundesliga</t>
  </si>
  <si>
    <t>Code</t>
  </si>
  <si>
    <t>Status</t>
  </si>
  <si>
    <t>Result Type</t>
  </si>
  <si>
    <t>CBB</t>
  </si>
  <si>
    <t>Scheduled</t>
  </si>
  <si>
    <t>Holder win</t>
  </si>
  <si>
    <t>MMM</t>
  </si>
  <si>
    <t>Awaiting result</t>
  </si>
  <si>
    <t>Challenger win</t>
  </si>
  <si>
    <t>JEJ</t>
  </si>
  <si>
    <t>Completed</t>
  </si>
  <si>
    <t>Draw / tie</t>
  </si>
  <si>
    <t>TMT</t>
  </si>
  <si>
    <t>Postponed</t>
  </si>
  <si>
    <t>No result</t>
  </si>
  <si>
    <t>RPR</t>
  </si>
  <si>
    <t>Cancelled</t>
  </si>
  <si>
    <t>RRR</t>
  </si>
  <si>
    <t>YPP</t>
  </si>
  <si>
    <t>UST</t>
  </si>
  <si>
    <t>HMP</t>
  </si>
  <si>
    <t>Event ID (auto)</t>
  </si>
  <si>
    <t>Fixture Date</t>
  </si>
  <si>
    <t>Opponent</t>
  </si>
  <si>
    <t>Venue</t>
  </si>
  <si>
    <t>Result / Score</t>
  </si>
  <si>
    <t>Source URL</t>
  </si>
  <si>
    <t>Holder Before</t>
  </si>
  <si>
    <t>Outcome</t>
  </si>
  <si>
    <t>Holder After</t>
  </si>
  <si>
    <t>Reign Since After</t>
  </si>
  <si>
    <t>Current Defences After</t>
  </si>
  <si>
    <t>Transfers After</t>
  </si>
  <si>
    <t>Total Defences After</t>
  </si>
  <si>
    <t>Notes</t>
  </si>
  <si>
    <t>Kingsmead · Durban</t>
  </si>
  <si>
    <t>Zimbabwe</t>
  </si>
  <si>
    <t>Harare Sports Club · Harare</t>
  </si>
  <si>
    <t>Bangladesh</t>
  </si>
  <si>
    <t>Allan Border Field · Brisbane</t>
  </si>
  <si>
    <t>New Zealand</t>
  </si>
  <si>
    <t>North Sydney Oval · Sydney</t>
  </si>
  <si>
    <t>VfB Stuttgart</t>
  </si>
  <si>
    <t>Bayern München 5 - VfB Stuttgart 1</t>
  </si>
  <si>
    <t>1. FSV Mainz 05</t>
  </si>
  <si>
    <t>Schalke FC</t>
  </si>
  <si>
    <t>Current Holder</t>
  </si>
  <si>
    <t>Since</t>
  </si>
  <si>
    <t>Next Date</t>
  </si>
  <si>
    <t>Next Opponent</t>
  </si>
  <si>
    <t>championship</t>
  </si>
  <si>
    <t>current_holder</t>
  </si>
  <si>
    <t>current_since</t>
  </si>
  <si>
    <t>current_defences</t>
  </si>
  <si>
    <t>transfers</t>
  </si>
  <si>
    <t>total_defences</t>
  </si>
  <si>
    <t>next_date</t>
  </si>
  <si>
    <t>next_opponent</t>
  </si>
  <si>
    <t>Dates</t>
  </si>
  <si>
    <t>Multi-day matches</t>
  </si>
  <si>
    <t>Use Fixture Date for the start date and Fixture End Date for the final day. Leave End Date blank for one-day matches.</t>
  </si>
  <si>
    <t>Fixture End Date (optional)</t>
  </si>
  <si>
    <t>JB Marks Oval · Potchefstroom</t>
  </si>
  <si>
    <t>def Zimbabwe by 59 runs</t>
  </si>
  <si>
    <t>def Zimbabwe by 84 runs</t>
  </si>
  <si>
    <t>def Zimbabwe by 1 wicket</t>
  </si>
  <si>
    <t>Durban</t>
  </si>
  <si>
    <t>def Australia by 67 runs</t>
  </si>
  <si>
    <t>Johannesburg</t>
  </si>
  <si>
    <t>def Australia by 32 runs</t>
  </si>
  <si>
    <t>Potchefstroom</t>
  </si>
  <si>
    <t>def South Africa by 45 runs (DLS)</t>
  </si>
  <si>
    <t>England</t>
  </si>
  <si>
    <t>Perth</t>
  </si>
  <si>
    <t>def Bangladesh by 7 Wickets</t>
  </si>
  <si>
    <t>Brisbane</t>
  </si>
  <si>
    <t>def Bangladesh by 9 wickets</t>
  </si>
  <si>
    <t>Australia win by 214 runs</t>
  </si>
  <si>
    <t>Gqebhera</t>
  </si>
  <si>
    <t>def Bangladesh by 8 wickets</t>
  </si>
  <si>
    <t>Sri Lanka</t>
  </si>
  <si>
    <t>Dambulla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</si>
</sst>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yyyy\-mm\-dd"/>
    <numFmt numFmtId="166" formatCode="d\ mmm\ yyyy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2A"/>
      </patternFill>
    </fill>
    <fill>
      <patternFill patternType="solid">
        <fgColor rgb="FFE8F3F8"/>
      </patternFill>
    </fill>
    <fill>
      <patternFill patternType="solid">
        <fgColor rgb="FFEEF1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64" fontId="0" fillId="4" borderId="0" xfId="0" applyNumberFormat="1" applyFill="1"/>
    <xf numFmtId="165" fontId="0" fillId="0" borderId="0" xfId="0" applyNumberFormat="1"/>
    <xf numFmtId="49" fontId="0" fillId="3" borderId="0" xfId="0" applyNumberFormat="1" applyFill="1"/>
    <xf numFmtId="49" fontId="0" fillId="0" borderId="0" xfId="0" applyNumberFormat="1"/>
    <xf numFmtId="166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ont>
        <b/>
        <color rgb="FF991B1B"/>
      </font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4.25"/>
  <cols>
    <col min="1" max="1" width="34" customWidth="1"/>
    <col min="2" max="2" width="64" customWidth="1"/>
    <col min="3" max="3" width="34" customWidth="1"/>
  </cols>
  <sheetData>
    <row r="1" spans="1:3" ht="30">
      <c r="A1" s="2" t="s">
        <v>0</v>
      </c>
      <c r="B1" s="2"/>
      <c r="C1" s="2"/>
    </row>
    <row r="2" spans="1:3">
      <c r="A2" s="3" t="s">
        <v>1</v>
      </c>
      <c r="B2" s="3" t="s">
        <v>2</v>
      </c>
      <c r="C2" s="3"/>
    </row>
    <row r="3" spans="1:3">
      <c r="A3" s="3" t="s">
        <v>3</v>
      </c>
      <c r="B3" s="3" t="s">
        <v>4</v>
      </c>
      <c r="C3" s="3"/>
    </row>
    <row r="4" spans="1:3" ht="28.5">
      <c r="A4" s="3" t="s">
        <v>5</v>
      </c>
      <c r="B4" s="3" t="s">
        <v>6</v>
      </c>
      <c r="C4" s="3" t="s">
        <v>7</v>
      </c>
    </row>
    <row r="5" spans="1:3" ht="28.5">
      <c r="A5" s="3" t="s">
        <v>8</v>
      </c>
      <c r="B5" s="3" t="s">
        <v>9</v>
      </c>
      <c r="C5" s="3" t="s">
        <v>10</v>
      </c>
    </row>
    <row r="6" spans="1:3" ht="28.5">
      <c r="A6" s="3" t="s">
        <v>11</v>
      </c>
      <c r="B6" s="3" t="s">
        <v>12</v>
      </c>
      <c r="C6" s="3" t="s">
        <v>13</v>
      </c>
    </row>
    <row r="7" spans="1:3">
      <c r="A7" s="3" t="s">
        <v>14</v>
      </c>
      <c r="B7" s="3" t="s">
        <v>15</v>
      </c>
      <c r="C7" s="3" t="s">
        <v>16</v>
      </c>
    </row>
    <row r="8" spans="1:3">
      <c r="A8" s="3" t="s">
        <v>17</v>
      </c>
      <c r="B8" s="3" t="s">
        <v>18</v>
      </c>
      <c r="C8" s="3" t="s">
        <v>19</v>
      </c>
    </row>
    <row r="9" spans="1:3" ht="42.75">
      <c r="A9" s="3" t="s">
        <v>111</v>
      </c>
      <c r="B9" s="3" t="s">
        <v>112</v>
      </c>
      <c r="C9" s="3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defaultRowHeight="14.25"/>
  <cols>
    <col min="1" max="1" width="30" customWidth="1"/>
    <col min="2" max="8" width="20" customWidth="1"/>
  </cols>
  <sheetData>
    <row r="1" spans="1:8" ht="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28</v>
      </c>
      <c r="B2" t="s">
        <v>29</v>
      </c>
      <c r="C2" t="s">
        <v>30</v>
      </c>
      <c r="D2" t="s">
        <v>31</v>
      </c>
      <c r="E2" s="4">
        <v>45953</v>
      </c>
      <c r="F2">
        <v>2</v>
      </c>
      <c r="G2">
        <v>214</v>
      </c>
      <c r="H2">
        <v>404</v>
      </c>
    </row>
    <row r="3" spans="1:8">
      <c r="A3" t="s">
        <v>32</v>
      </c>
      <c r="B3" t="s">
        <v>29</v>
      </c>
      <c r="C3" t="s">
        <v>33</v>
      </c>
      <c r="D3" t="s">
        <v>34</v>
      </c>
      <c r="E3" s="4">
        <v>46089</v>
      </c>
      <c r="F3">
        <v>0</v>
      </c>
      <c r="G3">
        <v>8</v>
      </c>
      <c r="H3">
        <v>74</v>
      </c>
    </row>
    <row r="4" spans="1:8">
      <c r="A4" t="s">
        <v>35</v>
      </c>
      <c r="B4" t="s">
        <v>29</v>
      </c>
      <c r="C4" t="s">
        <v>36</v>
      </c>
      <c r="D4" t="s">
        <v>34</v>
      </c>
      <c r="E4" s="4">
        <v>46187</v>
      </c>
      <c r="F4">
        <v>0</v>
      </c>
      <c r="G4">
        <v>358</v>
      </c>
      <c r="H4">
        <v>596</v>
      </c>
    </row>
    <row r="5" spans="1:8">
      <c r="A5" t="s">
        <v>37</v>
      </c>
      <c r="B5" t="s">
        <v>29</v>
      </c>
      <c r="C5" t="s">
        <v>38</v>
      </c>
      <c r="D5" t="s">
        <v>34</v>
      </c>
      <c r="E5" s="4">
        <v>46077</v>
      </c>
      <c r="F5">
        <v>5</v>
      </c>
      <c r="G5">
        <v>120</v>
      </c>
      <c r="H5">
        <v>251</v>
      </c>
    </row>
    <row r="6" spans="1:8">
      <c r="A6" t="s">
        <v>39</v>
      </c>
      <c r="B6" t="s">
        <v>29</v>
      </c>
      <c r="C6" t="s">
        <v>40</v>
      </c>
      <c r="D6" t="s">
        <v>41</v>
      </c>
      <c r="E6" s="4">
        <v>46199</v>
      </c>
      <c r="F6">
        <v>1</v>
      </c>
      <c r="G6">
        <v>89</v>
      </c>
      <c r="H6">
        <v>152</v>
      </c>
    </row>
    <row r="7" spans="1:8">
      <c r="A7" t="s">
        <v>42</v>
      </c>
      <c r="B7" t="s">
        <v>29</v>
      </c>
      <c r="C7" t="s">
        <v>43</v>
      </c>
      <c r="D7" t="s">
        <v>34</v>
      </c>
      <c r="E7" s="4">
        <v>46186</v>
      </c>
      <c r="F7">
        <v>6</v>
      </c>
      <c r="G7">
        <v>76</v>
      </c>
      <c r="H7">
        <v>139</v>
      </c>
    </row>
    <row r="8" spans="1:8">
      <c r="A8" t="s">
        <v>44</v>
      </c>
      <c r="B8" t="s">
        <v>29</v>
      </c>
      <c r="C8" t="s">
        <v>45</v>
      </c>
      <c r="D8" t="s">
        <v>46</v>
      </c>
      <c r="E8" s="4">
        <v>46173</v>
      </c>
      <c r="F8">
        <v>0</v>
      </c>
      <c r="G8">
        <v>150</v>
      </c>
      <c r="H8">
        <v>125</v>
      </c>
    </row>
    <row r="9" spans="1:8">
      <c r="A9" t="s">
        <v>47</v>
      </c>
      <c r="B9" t="s">
        <v>48</v>
      </c>
      <c r="C9" t="s">
        <v>49</v>
      </c>
      <c r="D9" t="s">
        <v>50</v>
      </c>
      <c r="E9" s="4">
        <v>46081</v>
      </c>
      <c r="F9">
        <v>10</v>
      </c>
      <c r="G9">
        <v>681</v>
      </c>
      <c r="H9">
        <v>1442</v>
      </c>
    </row>
    <row r="10" spans="1:8">
      <c r="A10" t="s">
        <v>51</v>
      </c>
      <c r="B10" t="s">
        <v>48</v>
      </c>
      <c r="C10" t="s">
        <v>52</v>
      </c>
      <c r="D10" t="s">
        <v>50</v>
      </c>
      <c r="E10" s="4">
        <v>45730</v>
      </c>
      <c r="F10">
        <v>32</v>
      </c>
      <c r="G10">
        <v>113</v>
      </c>
      <c r="H10">
        <v>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4.25"/>
  <sheetData>
    <row r="1" spans="1:5" ht="15">
      <c r="A1" s="1" t="s">
        <v>20</v>
      </c>
      <c r="B1" s="1" t="s">
        <v>53</v>
      </c>
      <c r="C1" s="1"/>
      <c r="D1" s="1" t="s">
        <v>54</v>
      </c>
      <c r="E1" s="1" t="s">
        <v>55</v>
      </c>
    </row>
    <row r="2" spans="1:5">
      <c r="A2" t="s">
        <v>28</v>
      </c>
      <c r="B2" t="s">
        <v>56</v>
      </c>
      <c r="D2" t="s">
        <v>57</v>
      </c>
      <c r="E2" t="s">
        <v>58</v>
      </c>
    </row>
    <row r="3" spans="1:5">
      <c r="A3" t="s">
        <v>32</v>
      </c>
      <c r="B3" t="s">
        <v>59</v>
      </c>
      <c r="D3" t="s">
        <v>60</v>
      </c>
      <c r="E3" t="s">
        <v>61</v>
      </c>
    </row>
    <row r="4" spans="1:5">
      <c r="A4" t="s">
        <v>35</v>
      </c>
      <c r="B4" t="s">
        <v>62</v>
      </c>
      <c r="D4" t="s">
        <v>63</v>
      </c>
      <c r="E4" t="s">
        <v>64</v>
      </c>
    </row>
    <row r="5" spans="1:5">
      <c r="A5" t="s">
        <v>37</v>
      </c>
      <c r="B5" t="s">
        <v>65</v>
      </c>
      <c r="D5" t="s">
        <v>66</v>
      </c>
      <c r="E5" t="s">
        <v>67</v>
      </c>
    </row>
    <row r="6" spans="1:5">
      <c r="A6" t="s">
        <v>39</v>
      </c>
      <c r="B6" t="s">
        <v>68</v>
      </c>
      <c r="D6" t="s">
        <v>69</v>
      </c>
    </row>
    <row r="7" spans="1:5">
      <c r="A7" t="s">
        <v>42</v>
      </c>
      <c r="B7" t="s">
        <v>70</v>
      </c>
    </row>
    <row r="8" spans="1:5">
      <c r="A8" t="s">
        <v>44</v>
      </c>
      <c r="B8" t="s">
        <v>71</v>
      </c>
    </row>
    <row r="9" spans="1:5">
      <c r="A9" t="s">
        <v>47</v>
      </c>
      <c r="B9" t="s">
        <v>72</v>
      </c>
    </row>
    <row r="10" spans="1:5">
      <c r="A10" t="s">
        <v>51</v>
      </c>
      <c r="B10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"/>
  <sheetViews>
    <sheetView tabSelected="1" workbookViewId="0">
      <selection activeCell="F19" sqref="F19"/>
    </sheetView>
  </sheetViews>
  <sheetFormatPr defaultRowHeight="14.25"/>
  <cols>
    <col min="1" max="1" width="20" customWidth="1"/>
    <col min="2" max="2" width="30" customWidth="1"/>
    <col min="3" max="3" width="16" customWidth="1"/>
    <col min="4" max="4" width="22" customWidth="1"/>
    <col min="5" max="5" width="25" customWidth="1"/>
    <col min="6" max="7" width="18" customWidth="1"/>
    <col min="8" max="8" width="22" customWidth="1"/>
    <col min="9" max="9" width="35" customWidth="1"/>
    <col min="10" max="10" width="24" customWidth="1"/>
    <col min="11" max="11" width="16" customWidth="1"/>
    <col min="12" max="12" width="24" customWidth="1"/>
    <col min="13" max="14" width="18" customWidth="1"/>
    <col min="15" max="15" width="16" customWidth="1"/>
    <col min="16" max="16" width="18" customWidth="1"/>
    <col min="17" max="17" width="36" customWidth="1"/>
    <col min="18" max="18" width="20" customWidth="1"/>
  </cols>
  <sheetData>
    <row r="1" spans="1:18" ht="30">
      <c r="A1" s="2" t="s">
        <v>74</v>
      </c>
      <c r="B1" s="2" t="s">
        <v>20</v>
      </c>
      <c r="C1" s="2" t="s">
        <v>75</v>
      </c>
      <c r="D1" s="2" t="s">
        <v>76</v>
      </c>
      <c r="E1" s="2" t="s">
        <v>77</v>
      </c>
      <c r="F1" s="2" t="s">
        <v>54</v>
      </c>
      <c r="G1" s="2" t="s">
        <v>55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  <c r="R1" s="13" t="s">
        <v>114</v>
      </c>
    </row>
    <row r="2" spans="1:18">
      <c r="A2" s="6" t="str">
        <f>IF(OR(B2="",C2=""),"",VLOOKUP(B2,Lists!$A$2:$B$10,2,FALSE)&amp;"-"&amp;TEXT(C2,"yyyymmdd")&amp;"-01")</f>
        <v>CBB-20261009-01</v>
      </c>
      <c r="B2" s="5" t="s">
        <v>28</v>
      </c>
      <c r="C2" s="7">
        <v>46304</v>
      </c>
      <c r="D2" s="5" t="s">
        <v>34</v>
      </c>
      <c r="E2" s="5" t="s">
        <v>88</v>
      </c>
      <c r="F2" s="5" t="s">
        <v>63</v>
      </c>
      <c r="G2" s="5" t="s">
        <v>61</v>
      </c>
      <c r="H2" s="10" t="s">
        <v>130</v>
      </c>
      <c r="I2" s="5"/>
      <c r="J2" s="6" t="str">
        <f>IF(B2="","",VLOOKUP(B2,Baseline!$A$2:$H$10,4,FALSE))</f>
        <v>South Africa</v>
      </c>
      <c r="K2" s="6" t="str">
        <f t="shared" ref="K2:K33" si="0">IF(B2="","",IF(F2&lt;&gt;"Completed",F2,IF(G2="Challenger win","Transfer",IF(OR(G2="Holder win",G2="Draw / tie"),"Defence",IF(G2="No result","No result","INVALID — CHECK RESULT TYPE")))))</f>
        <v>Transfer</v>
      </c>
      <c r="L2" s="6" t="str">
        <f t="shared" ref="L2:L33" si="1">IF(B2="","",IF(K2="INVALID — CHECK RESULT TYPE","",IF(K2="Transfer",D2,J2)))</f>
        <v>Australia</v>
      </c>
      <c r="M2" s="8">
        <f>IF(B2="","",IF(K2="INVALID — CHECK RESULT TYPE","",IF(K2="Transfer",IF(R2&lt;&gt;"",R2,C2),VLOOKUP(B2,Baseline!$A$2:$H$10,5,FALSE))))</f>
        <v>46308</v>
      </c>
      <c r="N2" s="6">
        <f>IF(B2="","",IF(K2="INVALID — CHECK RESULT TYPE","",IF(K2="Transfer",0,VLOOKUP(B2,Baseline!$A$2:$H$10,6,FALSE)+IF(K2="Defence",1,0))))</f>
        <v>0</v>
      </c>
      <c r="O2" s="6">
        <f>IF(B2="","",IF(K2="INVALID — CHECK RESULT TYPE","",VLOOKUP(B2,Baseline!$A$2:$H$10,7,FALSE)+IF(K2="Transfer",1,0)))</f>
        <v>215</v>
      </c>
      <c r="P2" s="6">
        <f>IF(B2="","",IF(K2="INVALID — CHECK RESULT TYPE","",VLOOKUP(B2,Baseline!$A$2:$H$10,8,FALSE)+IF(K2="Defence",1,0)))</f>
        <v>404</v>
      </c>
      <c r="Q2" s="5"/>
      <c r="R2" s="12">
        <v>46308</v>
      </c>
    </row>
    <row r="3" spans="1:18">
      <c r="A3" s="6" t="str">
        <f>IF(OR(B3="",C3=""),"",VLOOKUP(B3,Lists!$A$2:$B$10,2,FALSE)&amp;"-"&amp;TEXT(C3,"yyyymmdd")&amp;"-"&amp;TEXT(COUNTIFS($B$2:B3,B3,$C$2:C3,C3),"00"))</f>
        <v>MMM-20270408-01</v>
      </c>
      <c r="B3" s="5" t="s">
        <v>32</v>
      </c>
      <c r="C3" s="7">
        <v>46485</v>
      </c>
      <c r="D3" s="5" t="s">
        <v>31</v>
      </c>
      <c r="E3" s="5" t="s">
        <v>115</v>
      </c>
      <c r="F3" s="5" t="s">
        <v>57</v>
      </c>
      <c r="G3" s="5"/>
      <c r="H3" s="10"/>
      <c r="I3" s="5"/>
      <c r="J3" s="6" t="str">
        <f>IF(B3="","",IFERROR(LOOKUP(2,1/($B$2:B2=B3),$L$2:L2),VLOOKUP(B3,Baseline!$A$2:$H$10,4,FALSE)))</f>
        <v>Australia</v>
      </c>
      <c r="K3" s="6" t="str">
        <f t="shared" si="0"/>
        <v>Scheduled</v>
      </c>
      <c r="L3" s="6" t="str">
        <f t="shared" si="1"/>
        <v>Australia</v>
      </c>
      <c r="M3" s="8">
        <f>IF(B3="","",IF(K3="INVALID — CHECK RESULT TYPE","",IF(K3="Transfer",IF(R3&lt;&gt;"",R3,C3),IFERROR(LOOKUP(2,1/($B$2:B2=B3),$M$2:M2),VLOOKUP(B3,Baseline!$A$2:$H$10,5,FALSE)))))</f>
        <v>46089</v>
      </c>
      <c r="N3" s="6">
        <f>IF(B3="","",IF(K3="INVALID — CHECK RESULT TYPE","",IF(K3="Transfer",0,IFERROR(LOOKUP(2,1/($B$2:B2=B3),$N$2:N2),VLOOKUP(B3,Baseline!$A$2:$H$10,6,FALSE))+IF(K3="Defence",1,0))))</f>
        <v>0</v>
      </c>
      <c r="O3" s="6">
        <f>IF(B3="","",IF(K3="INVALID — CHECK RESULT TYPE","",IFERROR(LOOKUP(2,1/($B$2:B2=B3),$O$2:O2),VLOOKUP(B3,Baseline!$A$2:$H$10,7,FALSE))+IF(K3="Transfer",1,0)))</f>
        <v>8</v>
      </c>
      <c r="P3" s="6">
        <f>IF(B3="","",IF(K3="INVALID — CHECK RESULT TYPE","",IFERROR(LOOKUP(2,1/($B$2:B2=B3),$P$2:P2),VLOOKUP(B3,Baseline!$A$2:$H$10,8,FALSE))+IF(K3="Defence",1,0)))</f>
        <v>74</v>
      </c>
      <c r="Q3" s="5"/>
      <c r="R3" s="12">
        <v>46488</v>
      </c>
    </row>
    <row r="4" spans="1:18">
      <c r="A4" s="6" t="str">
        <f>IF(OR(B4="",C4=""),"",VLOOKUP(B4,Lists!$A$2:$B$10,2,FALSE)&amp;"-"&amp;TEXT(C4,"yyyymmdd")&amp;"-"&amp;TEXT(COUNTIFS($B$2:B4,B4,$C$2:C4,C4),"00"))</f>
        <v>JEJ-20260915-01</v>
      </c>
      <c r="B4" s="5" t="s">
        <v>35</v>
      </c>
      <c r="C4" s="7">
        <v>46280</v>
      </c>
      <c r="D4" s="5" t="s">
        <v>89</v>
      </c>
      <c r="E4" s="5" t="s">
        <v>90</v>
      </c>
      <c r="F4" s="5" t="s">
        <v>63</v>
      </c>
      <c r="G4" s="5" t="s">
        <v>58</v>
      </c>
      <c r="H4" s="10" t="s">
        <v>116</v>
      </c>
      <c r="I4" s="5"/>
      <c r="J4" s="6" t="str">
        <f>IF(B4="","",IFERROR(LOOKUP(2,1/($B$2:B3=B4),$L$2:L3),VLOOKUP(B4,Baseline!$A$2:$H$10,4,FALSE)))</f>
        <v>Australia</v>
      </c>
      <c r="K4" s="6" t="str">
        <f t="shared" si="0"/>
        <v>Defence</v>
      </c>
      <c r="L4" s="6" t="str">
        <f t="shared" si="1"/>
        <v>Australia</v>
      </c>
      <c r="M4" s="8">
        <f>IF(B4="","",IF(K4="INVALID — CHECK RESULT TYPE","",IF(K4="Transfer",IF(R4&lt;&gt;"",R4,C4),IFERROR(LOOKUP(2,1/($B$2:B3=B4),$M$2:M3),VLOOKUP(B4,Baseline!$A$2:$H$10,5,FALSE)))))</f>
        <v>46187</v>
      </c>
      <c r="N4" s="6">
        <f>IF(B4="","",IF(K4="INVALID — CHECK RESULT TYPE","",IF(K4="Transfer",0,IFERROR(LOOKUP(2,1/($B$2:B3=B4),$N$2:N3),VLOOKUP(B4,Baseline!$A$2:$H$10,6,FALSE))+IF(K4="Defence",1,0))))</f>
        <v>1</v>
      </c>
      <c r="O4" s="6">
        <f>IF(B4="","",IF(K4="INVALID — CHECK RESULT TYPE","",IFERROR(LOOKUP(2,1/($B$2:B3=B4),$O$2:O3),VLOOKUP(B4,Baseline!$A$2:$H$10,7,FALSE))+IF(K4="Transfer",1,0)))</f>
        <v>358</v>
      </c>
      <c r="P4" s="6">
        <f>IF(B4="","",IF(K4="INVALID — CHECK RESULT TYPE","",IFERROR(LOOKUP(2,1/($B$2:B3=B4),$P$2:P3),VLOOKUP(B4,Baseline!$A$2:$H$10,8,FALSE))+IF(K4="Defence",1,0)))</f>
        <v>597</v>
      </c>
      <c r="Q4" s="5"/>
      <c r="R4" s="12"/>
    </row>
    <row r="5" spans="1:18">
      <c r="A5" s="6" t="str">
        <f>IF(OR(B5="",C5=""),"",VLOOKUP(B5,Lists!$A$2:$B$10,2,FALSE)&amp;"-"&amp;TEXT(C5,"yyyymmdd")&amp;"-"&amp;TEXT(COUNTIFS($B$2:B5,B5,$C$2:C5,C5),"00"))</f>
        <v>TMT-20261009-01</v>
      </c>
      <c r="B5" s="5" t="s">
        <v>37</v>
      </c>
      <c r="C5" s="7">
        <v>46304</v>
      </c>
      <c r="D5" s="5" t="s">
        <v>91</v>
      </c>
      <c r="E5" s="5" t="s">
        <v>92</v>
      </c>
      <c r="F5" s="5" t="s">
        <v>63</v>
      </c>
      <c r="G5" s="5" t="s">
        <v>58</v>
      </c>
      <c r="H5" s="10" t="s">
        <v>127</v>
      </c>
      <c r="I5" s="5"/>
      <c r="J5" s="6" t="str">
        <f>IF(B5="","",IFERROR(LOOKUP(2,1/($B$2:B4=B5),$L$2:L4),VLOOKUP(B5,Baseline!$A$2:$H$10,4,FALSE)))</f>
        <v>Australia</v>
      </c>
      <c r="K5" s="6" t="str">
        <f t="shared" si="0"/>
        <v>Defence</v>
      </c>
      <c r="L5" s="6" t="str">
        <f t="shared" si="1"/>
        <v>Australia</v>
      </c>
      <c r="M5" s="8">
        <f>IF(B5="","",IF(K5="INVALID — CHECK RESULT TYPE","",IF(K5="Transfer",IF(R5&lt;&gt;"",R5,C5),IFERROR(LOOKUP(2,1/($B$2:B4=B5),$M$2:M4),VLOOKUP(B5,Baseline!$A$2:$H$10,5,FALSE)))))</f>
        <v>46077</v>
      </c>
      <c r="N5" s="6">
        <f>IF(B5="","",IF(K5="INVALID — CHECK RESULT TYPE","",IF(K5="Transfer",0,IFERROR(LOOKUP(2,1/($B$2:B4=B5),$N$2:N4),VLOOKUP(B5,Baseline!$A$2:$H$10,6,FALSE))+IF(K5="Defence",1,0))))</f>
        <v>6</v>
      </c>
      <c r="O5" s="6">
        <f>IF(B5="","",IF(K5="INVALID — CHECK RESULT TYPE","",IFERROR(LOOKUP(2,1/($B$2:B4=B5),$O$2:O4),VLOOKUP(B5,Baseline!$A$2:$H$10,7,FALSE))+IF(K5="Transfer",1,0)))</f>
        <v>120</v>
      </c>
      <c r="P5" s="6">
        <f>IF(B5="","",IF(K5="INVALID — CHECK RESULT TYPE","",IFERROR(LOOKUP(2,1/($B$2:B4=B5),$P$2:P4),VLOOKUP(B5,Baseline!$A$2:$H$10,8,FALSE))+IF(K5="Defence",1,0)))</f>
        <v>252</v>
      </c>
      <c r="Q5" s="5"/>
      <c r="R5" s="12"/>
    </row>
    <row r="6" spans="1:18">
      <c r="A6" s="6" t="str">
        <f>IF(OR(B6="",C6=""),"",VLOOKUP(B6,Lists!$A$2:$B$10,2,FALSE)&amp;"-"&amp;TEXT(C6,"yyyymmdd")&amp;"-"&amp;TEXT(COUNTIFS($B$2:B6,B6,$C$2:C6,C6),"00"))</f>
        <v>RRR-20261018-01</v>
      </c>
      <c r="B6" s="5" t="s">
        <v>42</v>
      </c>
      <c r="C6" s="7">
        <v>46313</v>
      </c>
      <c r="D6" s="5" t="s">
        <v>93</v>
      </c>
      <c r="E6" s="5" t="s">
        <v>94</v>
      </c>
      <c r="F6" s="5" t="s">
        <v>57</v>
      </c>
      <c r="G6" s="5"/>
      <c r="H6" s="10"/>
      <c r="I6" s="5"/>
      <c r="J6" s="6" t="str">
        <f>IF(B6="","",IFERROR(LOOKUP(2,1/($B$2:B5=B6),$L$2:L5),VLOOKUP(B6,Baseline!$A$2:$H$10,4,FALSE)))</f>
        <v>Australia</v>
      </c>
      <c r="K6" s="6" t="str">
        <f t="shared" si="0"/>
        <v>Scheduled</v>
      </c>
      <c r="L6" s="6" t="str">
        <f t="shared" si="1"/>
        <v>Australia</v>
      </c>
      <c r="M6" s="8">
        <f>IF(B6="","",IF(K6="INVALID — CHECK RESULT TYPE","",IF(K6="Transfer",IF(R6&lt;&gt;"",R6,C6),IFERROR(LOOKUP(2,1/($B$2:B5=B6),$M$2:M5),VLOOKUP(B6,Baseline!$A$2:$H$10,5,FALSE)))))</f>
        <v>46186</v>
      </c>
      <c r="N6" s="6">
        <f>IF(B6="","",IF(K6="INVALID — CHECK RESULT TYPE","",IF(K6="Transfer",0,IFERROR(LOOKUP(2,1/($B$2:B5=B6),$N$2:N5),VLOOKUP(B6,Baseline!$A$2:$H$10,6,FALSE))+IF(K6="Defence",1,0))))</f>
        <v>6</v>
      </c>
      <c r="O6" s="6">
        <f>IF(B6="","",IF(K6="INVALID — CHECK RESULT TYPE","",IFERROR(LOOKUP(2,1/($B$2:B5=B6),$O$2:O5),VLOOKUP(B6,Baseline!$A$2:$H$10,7,FALSE))+IF(K6="Transfer",1,0)))</f>
        <v>76</v>
      </c>
      <c r="P6" s="6">
        <f>IF(B6="","",IF(K6="INVALID — CHECK RESULT TYPE","",IFERROR(LOOKUP(2,1/($B$2:B5=B6),$P$2:P5),VLOOKUP(B6,Baseline!$A$2:$H$10,8,FALSE))+IF(K6="Defence",1,0)))</f>
        <v>139</v>
      </c>
      <c r="Q6" s="5"/>
      <c r="R6" s="12"/>
    </row>
    <row r="7" spans="1:18">
      <c r="A7" s="6" t="str">
        <f>IF(OR(B7="",C7=""),"",VLOOKUP(B7,Lists!$A$2:$B$10,2,FALSE)&amp;"-"&amp;TEXT(C7,"yyyymmdd")&amp;"-"&amp;TEXT(COUNTIFS($B$2:B7,B7,$C$2:C7,C7),"00"))</f>
        <v>UST-20260828-01</v>
      </c>
      <c r="B7" s="5" t="s">
        <v>47</v>
      </c>
      <c r="C7" s="7">
        <v>46262</v>
      </c>
      <c r="D7" s="5" t="s">
        <v>95</v>
      </c>
      <c r="E7" s="5"/>
      <c r="F7" s="5" t="s">
        <v>63</v>
      </c>
      <c r="G7" s="5" t="s">
        <v>58</v>
      </c>
      <c r="H7" s="11" t="s">
        <v>96</v>
      </c>
      <c r="I7" s="5"/>
      <c r="J7" s="6" t="str">
        <f>IF(B7="","",IFERROR(LOOKUP(2,1/($B$2:B6=B7),$L$2:L6),VLOOKUP(B7,Baseline!$A$2:$H$10,4,FALSE)))</f>
        <v>Bayern München</v>
      </c>
      <c r="K7" s="6" t="str">
        <f t="shared" si="0"/>
        <v>Defence</v>
      </c>
      <c r="L7" s="6" t="str">
        <f t="shared" si="1"/>
        <v>Bayern München</v>
      </c>
      <c r="M7" s="8">
        <f>IF(B7="","",IF(K7="INVALID — CHECK RESULT TYPE","",IF(K7="Transfer",IF(R7&lt;&gt;"",R7,C7),IFERROR(LOOKUP(2,1/($B$2:B6=B7),$M$2:M6),VLOOKUP(B7,Baseline!$A$2:$H$10,5,FALSE)))))</f>
        <v>46081</v>
      </c>
      <c r="N7" s="6">
        <f>IF(B7="","",IF(K7="INVALID — CHECK RESULT TYPE","",IF(K7="Transfer",0,IFERROR(LOOKUP(2,1/($B$2:B6=B7),$N$2:N6),VLOOKUP(B7,Baseline!$A$2:$H$10,6,FALSE))+IF(K7="Defence",1,0))))</f>
        <v>11</v>
      </c>
      <c r="O7" s="6">
        <f>IF(B7="","",IF(K7="INVALID — CHECK RESULT TYPE","",IFERROR(LOOKUP(2,1/($B$2:B6=B7),$O$2:O6),VLOOKUP(B7,Baseline!$A$2:$H$10,7,FALSE))+IF(K7="Transfer",1,0)))</f>
        <v>681</v>
      </c>
      <c r="P7" s="6">
        <f>IF(B7="","",IF(K7="INVALID — CHECK RESULT TYPE","",IFERROR(LOOKUP(2,1/($B$2:B6=B7),$P$2:P6),VLOOKUP(B7,Baseline!$A$2:$H$10,8,FALSE))+IF(K7="Defence",1,0)))</f>
        <v>1443</v>
      </c>
      <c r="Q7" s="5"/>
      <c r="R7" s="12"/>
    </row>
    <row r="8" spans="1:18">
      <c r="A8" s="6" t="str">
        <f>IF(OR(B8="",C8=""),"",VLOOKUP(B8,Lists!$A$2:$B$10,2,FALSE)&amp;"-"&amp;TEXT(C8,"yyyymmdd")&amp;"-"&amp;TEXT(COUNTIFS($B$2:B8,B8,$C$2:C8,C8),"00"))</f>
        <v>HMP-20260831-01</v>
      </c>
      <c r="B8" s="5" t="s">
        <v>51</v>
      </c>
      <c r="C8" s="7">
        <v>46265</v>
      </c>
      <c r="D8" s="5" t="s">
        <v>97</v>
      </c>
      <c r="E8" s="5"/>
      <c r="F8" s="5" t="s">
        <v>57</v>
      </c>
      <c r="G8" s="5"/>
      <c r="H8" s="10"/>
      <c r="I8" s="5"/>
      <c r="J8" s="6" t="str">
        <f>IF(B8="","",IFERROR(LOOKUP(2,1/($B$2:B7=B8),$L$2:L7),VLOOKUP(B8,Baseline!$A$2:$H$10,4,FALSE)))</f>
        <v>Bayern München</v>
      </c>
      <c r="K8" s="6" t="str">
        <f t="shared" si="0"/>
        <v>Scheduled</v>
      </c>
      <c r="L8" s="6" t="str">
        <f t="shared" si="1"/>
        <v>Bayern München</v>
      </c>
      <c r="M8" s="8">
        <f>IF(B8="","",IF(K8="INVALID — CHECK RESULT TYPE","",IF(K8="Transfer",IF(R8&lt;&gt;"",R8,C8),IFERROR(LOOKUP(2,1/($B$2:B7=B8),$M$2:M7),VLOOKUP(B8,Baseline!$A$2:$H$10,5,FALSE)))))</f>
        <v>45730</v>
      </c>
      <c r="N8" s="6">
        <f>IF(B8="","",IF(K8="INVALID — CHECK RESULT TYPE","",IF(K8="Transfer",0,IFERROR(LOOKUP(2,1/($B$2:B7=B8),$N$2:N7),VLOOKUP(B8,Baseline!$A$2:$H$10,6,FALSE))+IF(K8="Defence",1,0))))</f>
        <v>32</v>
      </c>
      <c r="O8" s="6">
        <f>IF(B8="","",IF(K8="INVALID — CHECK RESULT TYPE","",IFERROR(LOOKUP(2,1/($B$2:B7=B8),$O$2:O7),VLOOKUP(B8,Baseline!$A$2:$H$10,7,FALSE))+IF(K8="Transfer",1,0)))</f>
        <v>113</v>
      </c>
      <c r="P8" s="6">
        <f>IF(B8="","",IF(K8="INVALID — CHECK RESULT TYPE","",IFERROR(LOOKUP(2,1/($B$2:B7=B8),$P$2:P7),VLOOKUP(B8,Baseline!$A$2:$H$10,8,FALSE))+IF(K8="Defence",1,0)))</f>
        <v>655</v>
      </c>
      <c r="Q8" s="5"/>
      <c r="R8" s="12"/>
    </row>
    <row r="9" spans="1:18">
      <c r="A9" s="6" t="str">
        <f>IF(OR(B9="",C9=""),"",VLOOKUP(B9,Lists!$A$2:$B$10,2,FALSE)&amp;"-"&amp;TEXT(C9,"yyyymmdd")&amp;"-"&amp;TEXT(COUNTIFS($B$2:B9,B9,$C$2:C9,C9),"00"))</f>
        <v>UST-20260904-01</v>
      </c>
      <c r="B9" s="5" t="s">
        <v>47</v>
      </c>
      <c r="C9" s="7">
        <v>46269</v>
      </c>
      <c r="D9" s="5" t="s">
        <v>98</v>
      </c>
      <c r="E9" s="5"/>
      <c r="F9" s="5" t="s">
        <v>57</v>
      </c>
      <c r="G9" s="5"/>
      <c r="H9" s="10"/>
      <c r="I9" s="5"/>
      <c r="J9" s="6" t="str">
        <f>IF(B9="","",IFERROR(LOOKUP(2,1/($B$2:B8=B9),$L$2:L8),VLOOKUP(B9,Baseline!$A$2:$H$10,4,FALSE)))</f>
        <v>Bayern München</v>
      </c>
      <c r="K9" s="6" t="str">
        <f t="shared" si="0"/>
        <v>Scheduled</v>
      </c>
      <c r="L9" s="6" t="str">
        <f t="shared" si="1"/>
        <v>Bayern München</v>
      </c>
      <c r="M9" s="8">
        <f>IF(B9="","",IF(K9="INVALID — CHECK RESULT TYPE","",IF(K9="Transfer",IF(R9&lt;&gt;"",R9,C9),IFERROR(LOOKUP(2,1/($B$2:B8=B9),$M$2:M8),VLOOKUP(B9,Baseline!$A$2:$H$10,5,FALSE)))))</f>
        <v>46081</v>
      </c>
      <c r="N9" s="6">
        <f>IF(B9="","",IF(K9="INVALID — CHECK RESULT TYPE","",IF(K9="Transfer",0,IFERROR(LOOKUP(2,1/($B$2:B8=B9),$N$2:N8),VLOOKUP(B9,Baseline!$A$2:$H$10,6,FALSE))+IF(K9="Defence",1,0))))</f>
        <v>11</v>
      </c>
      <c r="O9" s="6">
        <f>IF(B9="","",IF(K9="INVALID — CHECK RESULT TYPE","",IFERROR(LOOKUP(2,1/($B$2:B8=B9),$O$2:O8),VLOOKUP(B9,Baseline!$A$2:$H$10,7,FALSE))+IF(K9="Transfer",1,0)))</f>
        <v>681</v>
      </c>
      <c r="P9" s="6">
        <f>IF(B9="","",IF(K9="INVALID — CHECK RESULT TYPE","",IFERROR(LOOKUP(2,1/($B$2:B8=B9),$P$2:P8),VLOOKUP(B9,Baseline!$A$2:$H$10,8,FALSE))+IF(K9="Defence",1,0)))</f>
        <v>1443</v>
      </c>
      <c r="Q9" s="5"/>
      <c r="R9" s="12"/>
    </row>
    <row r="10" spans="1:18">
      <c r="A10" s="6" t="str">
        <f>IF(OR(B10="",C10=""),"",VLOOKUP(B10,Lists!$A$2:$B$10,2,FALSE)&amp;"-"&amp;TEXT(C10,"yyyymmdd")&amp;"-"&amp;TEXT(COUNTIFS($B$2:B10,B10,$C$2:C10,C10),"00"))</f>
        <v>JEJ-20260918-01</v>
      </c>
      <c r="B10" s="5" t="s">
        <v>35</v>
      </c>
      <c r="C10" s="7">
        <v>46283</v>
      </c>
      <c r="D10" s="5" t="s">
        <v>89</v>
      </c>
      <c r="E10" s="5" t="s">
        <v>90</v>
      </c>
      <c r="F10" s="5" t="s">
        <v>63</v>
      </c>
      <c r="G10" s="5" t="s">
        <v>58</v>
      </c>
      <c r="H10" s="10" t="s">
        <v>117</v>
      </c>
      <c r="I10" s="5"/>
      <c r="J10" s="6" t="str">
        <f>IF(B10="","",IFERROR(LOOKUP(2,1/($B$2:B9=B10),$L$2:L9),VLOOKUP(B10,Baseline!$A$2:$H$10,4,FALSE)))</f>
        <v>Australia</v>
      </c>
      <c r="K10" s="6" t="str">
        <f t="shared" si="0"/>
        <v>Defence</v>
      </c>
      <c r="L10" s="6" t="str">
        <f t="shared" si="1"/>
        <v>Australia</v>
      </c>
      <c r="M10" s="8">
        <f>IF(B10="","",IF(K10="Transfer",C10,IFERROR(LOOKUP(2,1/($B$2:B9=B10),$M$2:M9),VLOOKUP(B10,Baseline!$A$2:$H$10,5,FALSE))))</f>
        <v>46187</v>
      </c>
      <c r="N10" s="6">
        <f>IF(B10="","",IF(K10="Transfer",0,IFERROR(LOOKUP(2,1/($B$2:B9=B10),$N$2:N9),VLOOKUP(B10,Baseline!$A$2:$H$10,6,FALSE))+IF(K10="Defence",1,0)))</f>
        <v>2</v>
      </c>
      <c r="O10" s="6">
        <f>IF(B10="","",IFERROR(LOOKUP(2,1/($B$2:B9=B10),$O$2:O9),VLOOKUP(B10,Baseline!$A$2:$H$10,7,FALSE))+IF(K10="Transfer",1,0))</f>
        <v>358</v>
      </c>
      <c r="P10" s="6">
        <f>IF(B10="","",IFERROR(LOOKUP(2,1/($B$2:B9=B10),$P$2:P9),VLOOKUP(B10,Baseline!$A$2:$H$10,8,FALSE))+IF(K10="Defence",1,0))</f>
        <v>598</v>
      </c>
      <c r="Q10" s="5"/>
      <c r="R10" s="12"/>
    </row>
    <row r="11" spans="1:18">
      <c r="A11" s="6" t="str">
        <f>IF(OR(B11="",C11=""),"",VLOOKUP(B11,Lists!$A$2:$B$10,2,FALSE)&amp;"-"&amp;TEXT(C11,"yyyymmdd")&amp;"-"&amp;TEXT(COUNTIFS($B$2:B11,B11,$C$2:C11,C11),"00"))</f>
        <v>JEJ-20260920-01</v>
      </c>
      <c r="B11" s="5" t="s">
        <v>35</v>
      </c>
      <c r="C11" s="7">
        <v>46285</v>
      </c>
      <c r="D11" s="5" t="s">
        <v>89</v>
      </c>
      <c r="E11" s="5" t="s">
        <v>90</v>
      </c>
      <c r="F11" s="5" t="s">
        <v>63</v>
      </c>
      <c r="G11" s="5" t="s">
        <v>58</v>
      </c>
      <c r="H11" s="10" t="s">
        <v>118</v>
      </c>
      <c r="I11" s="5"/>
      <c r="J11" s="6" t="str">
        <f>IF(B11="","",IFERROR(LOOKUP(2,1/($B$2:B10=B11),$L$2:L10),VLOOKUP(B11,Baseline!$A$2:$H$10,4,FALSE)))</f>
        <v>Australia</v>
      </c>
      <c r="K11" s="6" t="str">
        <f t="shared" si="0"/>
        <v>Defence</v>
      </c>
      <c r="L11" s="6" t="str">
        <f t="shared" si="1"/>
        <v>Australia</v>
      </c>
      <c r="M11" s="8">
        <f>IF(B11="","",IF(K11="Transfer",C11,IFERROR(LOOKUP(2,1/($B$2:B10=B11),$M$2:M10),VLOOKUP(B11,Baseline!$A$2:$H$10,5,FALSE))))</f>
        <v>46187</v>
      </c>
      <c r="N11" s="6">
        <f>IF(B11="","",IF(K11="Transfer",0,IFERROR(LOOKUP(2,1/($B$2:B10=B11),$N$2:N10),VLOOKUP(B11,Baseline!$A$2:$H$10,6,FALSE))+IF(K11="Defence",1,0)))</f>
        <v>3</v>
      </c>
      <c r="O11" s="6">
        <f>IF(B11="","",IFERROR(LOOKUP(2,1/($B$2:B10=B11),$O$2:O10),VLOOKUP(B11,Baseline!$A$2:$H$10,7,FALSE))+IF(K11="Transfer",1,0))</f>
        <v>358</v>
      </c>
      <c r="P11" s="6">
        <f>IF(B11="","",IFERROR(LOOKUP(2,1/($B$2:B10=B11),$P$2:P10),VLOOKUP(B11,Baseline!$A$2:$H$10,8,FALSE))+IF(K11="Defence",1,0))</f>
        <v>599</v>
      </c>
      <c r="Q11" s="5"/>
      <c r="R11" s="12"/>
    </row>
    <row r="12" spans="1:18">
      <c r="A12" s="6" t="str">
        <f>IF(OR(B12="",C12=""),"",VLOOKUP(B12,Lists!$A$2:$B$10,2,FALSE)&amp;"-"&amp;TEXT(C12,"yyyymmdd")&amp;"-"&amp;TEXT(COUNTIFS($B$2:B12,B12,$C$2:C12,C12),"00"))</f>
        <v>JEJ-20260924-01</v>
      </c>
      <c r="B12" s="5" t="s">
        <v>35</v>
      </c>
      <c r="C12" s="7">
        <v>46289</v>
      </c>
      <c r="D12" s="5" t="s">
        <v>31</v>
      </c>
      <c r="E12" s="5" t="s">
        <v>119</v>
      </c>
      <c r="F12" s="5" t="s">
        <v>63</v>
      </c>
      <c r="G12" s="5" t="s">
        <v>61</v>
      </c>
      <c r="H12" s="10" t="s">
        <v>120</v>
      </c>
      <c r="I12" s="5"/>
      <c r="J12" s="6" t="str">
        <f>IF(B12="","",IFERROR(LOOKUP(2,1/($B$2:B11=B12),$L$2:L11),VLOOKUP(B12,Baseline!$A$2:$H$10,4,FALSE)))</f>
        <v>Australia</v>
      </c>
      <c r="K12" s="6" t="str">
        <f t="shared" si="0"/>
        <v>Transfer</v>
      </c>
      <c r="L12" s="6" t="str">
        <f t="shared" si="1"/>
        <v>South Africa</v>
      </c>
      <c r="M12" s="8">
        <f>IF(B12="","",IF(K12="Transfer",C12,IFERROR(LOOKUP(2,1/($B$2:B11=B12),$M$2:M11),VLOOKUP(B12,Baseline!$A$2:$H$10,5,FALSE))))</f>
        <v>46289</v>
      </c>
      <c r="N12" s="6">
        <f>IF(B12="","",IF(K12="Transfer",0,IFERROR(LOOKUP(2,1/($B$2:B11=B12),$N$2:N11),VLOOKUP(B12,Baseline!$A$2:$H$10,6,FALSE))+IF(K12="Defence",1,0)))</f>
        <v>0</v>
      </c>
      <c r="O12" s="6">
        <f>IF(B12="","",IFERROR(LOOKUP(2,1/($B$2:B11=B12),$O$2:O11),VLOOKUP(B12,Baseline!$A$2:$H$10,7,FALSE))+IF(K12="Transfer",1,0))</f>
        <v>359</v>
      </c>
      <c r="P12" s="6">
        <f>IF(B12="","",IFERROR(LOOKUP(2,1/($B$2:B11=B12),$P$2:P11),VLOOKUP(B12,Baseline!$A$2:$H$10,8,FALSE))+IF(K12="Defence",1,0))</f>
        <v>599</v>
      </c>
      <c r="Q12" s="5"/>
      <c r="R12" s="12"/>
    </row>
    <row r="13" spans="1:18">
      <c r="A13" s="6" t="str">
        <f>IF(OR(B13="",C13=""),"",VLOOKUP(B13,Lists!$A$2:$B$10,2,FALSE)&amp;"-"&amp;TEXT(C13,"yyyymmdd")&amp;"-"&amp;TEXT(COUNTIFS($B$2:B13,B13,$C$2:C13,C13),"00"))</f>
        <v>JEJ-20260927-01</v>
      </c>
      <c r="B13" s="5" t="s">
        <v>35</v>
      </c>
      <c r="C13" s="7">
        <v>46292</v>
      </c>
      <c r="D13" s="5" t="s">
        <v>34</v>
      </c>
      <c r="E13" s="5" t="s">
        <v>121</v>
      </c>
      <c r="F13" s="5" t="s">
        <v>63</v>
      </c>
      <c r="G13" s="5" t="s">
        <v>58</v>
      </c>
      <c r="H13" s="10" t="s">
        <v>122</v>
      </c>
      <c r="I13" s="5"/>
      <c r="J13" s="6" t="str">
        <f>IF(B13="","",IFERROR(LOOKUP(2,1/($B$2:B12=B13),$L$2:L12),VLOOKUP(B13,Baseline!$A$2:$H$10,4,FALSE)))</f>
        <v>South Africa</v>
      </c>
      <c r="K13" s="6" t="str">
        <f t="shared" si="0"/>
        <v>Defence</v>
      </c>
      <c r="L13" s="6" t="str">
        <f t="shared" si="1"/>
        <v>South Africa</v>
      </c>
      <c r="M13" s="8">
        <f>IF(B13="","",IF(K13="Transfer",C13,IFERROR(LOOKUP(2,1/($B$2:B12=B13),$M$2:M12),VLOOKUP(B13,Baseline!$A$2:$H$10,5,FALSE))))</f>
        <v>46289</v>
      </c>
      <c r="N13" s="6">
        <f>IF(B13="","",IF(K13="Transfer",0,IFERROR(LOOKUP(2,1/($B$2:B12=B13),$N$2:N12),VLOOKUP(B13,Baseline!$A$2:$H$10,6,FALSE))+IF(K13="Defence",1,0)))</f>
        <v>1</v>
      </c>
      <c r="O13" s="6">
        <f>IF(B13="","",IFERROR(LOOKUP(2,1/($B$2:B12=B13),$O$2:O12),VLOOKUP(B13,Baseline!$A$2:$H$10,7,FALSE))+IF(K13="Transfer",1,0))</f>
        <v>359</v>
      </c>
      <c r="P13" s="6">
        <f>IF(B13="","",IFERROR(LOOKUP(2,1/($B$2:B12=B13),$P$2:P12),VLOOKUP(B13,Baseline!$A$2:$H$10,8,FALSE))+IF(K13="Defence",1,0))</f>
        <v>600</v>
      </c>
      <c r="Q13" s="5"/>
      <c r="R13" s="12"/>
    </row>
    <row r="14" spans="1:18">
      <c r="A14" s="6" t="str">
        <f>IF(OR(B14="",C14=""),"",VLOOKUP(B14,Lists!$A$2:$B$10,2,FALSE)&amp;"-"&amp;TEXT(C14,"yyyymmdd")&amp;"-"&amp;TEXT(COUNTIFS($B$2:B14,B14,$C$2:C14,C14),"00"))</f>
        <v>JEJ-20260930-01</v>
      </c>
      <c r="B14" s="5" t="s">
        <v>35</v>
      </c>
      <c r="C14" s="7">
        <v>46295</v>
      </c>
      <c r="D14" s="5" t="s">
        <v>34</v>
      </c>
      <c r="E14" s="5" t="s">
        <v>123</v>
      </c>
      <c r="F14" s="5" t="s">
        <v>63</v>
      </c>
      <c r="G14" s="5" t="s">
        <v>61</v>
      </c>
      <c r="H14" s="10" t="s">
        <v>124</v>
      </c>
      <c r="I14" s="5"/>
      <c r="J14" s="6" t="str">
        <f>IF(B14="","",IFERROR(LOOKUP(2,1/($B$2:B13=B14),$L$2:L13),VLOOKUP(B14,Baseline!$A$2:$H$10,4,FALSE)))</f>
        <v>South Africa</v>
      </c>
      <c r="K14" s="6" t="str">
        <f t="shared" si="0"/>
        <v>Transfer</v>
      </c>
      <c r="L14" s="6" t="str">
        <f t="shared" si="1"/>
        <v>Australia</v>
      </c>
      <c r="M14" s="8">
        <f>IF(B14="","",IF(K14="Transfer",C14,IFERROR(LOOKUP(2,1/($B$2:B13=B14),$M$2:M13),VLOOKUP(B14,Baseline!$A$2:$H$10,5,FALSE))))</f>
        <v>46295</v>
      </c>
      <c r="N14" s="6">
        <f>IF(B14="","",IF(K14="Transfer",0,IFERROR(LOOKUP(2,1/($B$2:B13=B14),$N$2:N13),VLOOKUP(B14,Baseline!$A$2:$H$10,6,FALSE))+IF(K14="Defence",1,0)))</f>
        <v>0</v>
      </c>
      <c r="O14" s="6">
        <f>IF(B14="","",IFERROR(LOOKUP(2,1/($B$2:B13=B14),$O$2:O13),VLOOKUP(B14,Baseline!$A$2:$H$10,7,FALSE))+IF(K14="Transfer",1,0))</f>
        <v>360</v>
      </c>
      <c r="P14" s="6">
        <f>IF(B14="","",IFERROR(LOOKUP(2,1/($B$2:B13=B14),$P$2:P13),VLOOKUP(B14,Baseline!$A$2:$H$10,8,FALSE))+IF(K14="Defence",1,0))</f>
        <v>600</v>
      </c>
      <c r="Q14" s="5"/>
      <c r="R14" s="12"/>
    </row>
    <row r="15" spans="1:18">
      <c r="A15" s="6" t="str">
        <f>IF(OR(B15="",C15=""),"",VLOOKUP(B15,Lists!$A$2:$B$10,2,FALSE)&amp;"-"&amp;TEXT(C15,"yyyymmdd")&amp;"-"&amp;TEXT(COUNTIFS($B$2:B15,B15,$C$2:C15,C15),"00"))</f>
        <v>JEJ-20261113-01</v>
      </c>
      <c r="B15" s="5" t="s">
        <v>35</v>
      </c>
      <c r="C15" s="7">
        <v>46339</v>
      </c>
      <c r="D15" s="5" t="s">
        <v>125</v>
      </c>
      <c r="E15" s="5" t="s">
        <v>126</v>
      </c>
      <c r="F15" s="5" t="s">
        <v>57</v>
      </c>
      <c r="G15" s="5"/>
      <c r="H15" s="10"/>
      <c r="I15" s="5"/>
      <c r="J15" s="6" t="str">
        <f>IF(B15="","",IFERROR(LOOKUP(2,1/($B$2:B14=B15),$L$2:L14),VLOOKUP(B15,Baseline!$A$2:$H$10,4,FALSE)))</f>
        <v>Australia</v>
      </c>
      <c r="K15" s="6" t="str">
        <f t="shared" si="0"/>
        <v>Scheduled</v>
      </c>
      <c r="L15" s="6" t="str">
        <f t="shared" si="1"/>
        <v>Australia</v>
      </c>
      <c r="M15" s="8">
        <f>IF(B15="","",IF(K15="Transfer",C15,IFERROR(LOOKUP(2,1/($B$2:B14=B15),$M$2:M14),VLOOKUP(B15,Baseline!$A$2:$H$10,5,FALSE))))</f>
        <v>46295</v>
      </c>
      <c r="N15" s="6">
        <f>IF(B15="","",IF(K15="Transfer",0,IFERROR(LOOKUP(2,1/($B$2:B14=B15),$N$2:N14),VLOOKUP(B15,Baseline!$A$2:$H$10,6,FALSE))+IF(K15="Defence",1,0)))</f>
        <v>0</v>
      </c>
      <c r="O15" s="6">
        <f>IF(B15="","",IFERROR(LOOKUP(2,1/($B$2:B14=B15),$O$2:O14),VLOOKUP(B15,Baseline!$A$2:$H$10,7,FALSE))+IF(K15="Transfer",1,0))</f>
        <v>360</v>
      </c>
      <c r="P15" s="6">
        <f>IF(B15="","",IFERROR(LOOKUP(2,1/($B$2:B14=B15),$P$2:P14),VLOOKUP(B15,Baseline!$A$2:$H$10,8,FALSE))+IF(K15="Defence",1,0))</f>
        <v>600</v>
      </c>
      <c r="Q15" s="5"/>
      <c r="R15" s="12"/>
    </row>
    <row r="16" spans="1:18">
      <c r="A16" s="6" t="str">
        <f>IF(OR(B16="",C16=""),"",VLOOKUP(B16,Lists!$A$2:$B$10,2,FALSE)&amp;"-"&amp;TEXT(C16,"yyyymmdd")&amp;"-"&amp;TEXT(COUNTIFS($B$2:B16,B16,$C$2:C16,C16),"00"))</f>
        <v>TMT-20261011-01</v>
      </c>
      <c r="B16" s="5" t="s">
        <v>37</v>
      </c>
      <c r="C16" s="7">
        <v>46306</v>
      </c>
      <c r="D16" s="5" t="s">
        <v>91</v>
      </c>
      <c r="E16" s="5" t="s">
        <v>128</v>
      </c>
      <c r="F16" s="5" t="s">
        <v>63</v>
      </c>
      <c r="G16" s="5" t="s">
        <v>58</v>
      </c>
      <c r="H16" s="10" t="s">
        <v>129</v>
      </c>
      <c r="I16" s="5"/>
      <c r="J16" s="6" t="str">
        <f>IF(B16="","",IFERROR(LOOKUP(2,1/($B$2:B15=B16),$L$2:L15),VLOOKUP(B16,Baseline!$A$2:$H$10,4,FALSE)))</f>
        <v>Australia</v>
      </c>
      <c r="K16" s="6" t="str">
        <f t="shared" si="0"/>
        <v>Defence</v>
      </c>
      <c r="L16" s="6" t="str">
        <f t="shared" si="1"/>
        <v>Australia</v>
      </c>
      <c r="M16" s="8">
        <f>IF(B16="","",IF(K16="Transfer",C16,IFERROR(LOOKUP(2,1/($B$2:B15=B16),$M$2:M15),VLOOKUP(B16,Baseline!$A$2:$H$10,5,FALSE))))</f>
        <v>46077</v>
      </c>
      <c r="N16" s="6">
        <f>IF(B16="","",IF(K16="Transfer",0,IFERROR(LOOKUP(2,1/($B$2:B15=B16),$N$2:N15),VLOOKUP(B16,Baseline!$A$2:$H$10,6,FALSE))+IF(K16="Defence",1,0)))</f>
        <v>7</v>
      </c>
      <c r="O16" s="6">
        <f>IF(B16="","",IFERROR(LOOKUP(2,1/($B$2:B15=B16),$O$2:O15),VLOOKUP(B16,Baseline!$A$2:$H$10,7,FALSE))+IF(K16="Transfer",1,0))</f>
        <v>120</v>
      </c>
      <c r="P16" s="6">
        <f>IF(B16="","",IFERROR(LOOKUP(2,1/($B$2:B15=B16),$P$2:P15),VLOOKUP(B16,Baseline!$A$2:$H$10,8,FALSE))+IF(K16="Defence",1,0))</f>
        <v>253</v>
      </c>
      <c r="Q16" s="5"/>
      <c r="R16" s="12"/>
    </row>
    <row r="17" spans="1:18">
      <c r="A17" s="6" t="str">
        <f>IF(OR(B17="",C17=""),"",VLOOKUP(B17,Lists!$A$2:$B$10,2,FALSE)&amp;"-"&amp;TEXT(C17,"yyyymmdd")&amp;"-"&amp;TEXT(COUNTIFS($B$2:B17,B17,$C$2:C17,C17),"00"))</f>
        <v>TMT-20261014-01</v>
      </c>
      <c r="B17" s="5" t="s">
        <v>37</v>
      </c>
      <c r="C17" s="7">
        <v>46309</v>
      </c>
      <c r="D17" s="5" t="s">
        <v>91</v>
      </c>
      <c r="E17" s="5" t="s">
        <v>128</v>
      </c>
      <c r="F17" s="5" t="s">
        <v>63</v>
      </c>
      <c r="G17" s="5" t="s">
        <v>58</v>
      </c>
      <c r="H17" s="10" t="s">
        <v>132</v>
      </c>
      <c r="I17" s="5"/>
      <c r="J17" s="6" t="str">
        <f>IF(B17="","",IFERROR(LOOKUP(2,1/($B$2:B16=B17),$L$2:L16),VLOOKUP(B17,Baseline!$A$2:$H$10,4,FALSE)))</f>
        <v>Australia</v>
      </c>
      <c r="K17" s="6" t="str">
        <f t="shared" si="0"/>
        <v>Defence</v>
      </c>
      <c r="L17" s="6" t="str">
        <f t="shared" si="1"/>
        <v>Australia</v>
      </c>
      <c r="M17" s="8">
        <f>IF(B17="","",IF(K17="Transfer",C17,IFERROR(LOOKUP(2,1/($B$2:B16=B17),$M$2:M16),VLOOKUP(B17,Baseline!$A$2:$H$10,5,FALSE))))</f>
        <v>46077</v>
      </c>
      <c r="N17" s="6">
        <f>IF(B17="","",IF(K17="Transfer",0,IFERROR(LOOKUP(2,1/($B$2:B16=B17),$N$2:N16),VLOOKUP(B17,Baseline!$A$2:$H$10,6,FALSE))+IF(K17="Defence",1,0)))</f>
        <v>8</v>
      </c>
      <c r="O17" s="6">
        <f>IF(B17="","",IFERROR(LOOKUP(2,1/($B$2:B16=B17),$O$2:O16),VLOOKUP(B17,Baseline!$A$2:$H$10,7,FALSE))+IF(K17="Transfer",1,0))</f>
        <v>120</v>
      </c>
      <c r="P17" s="6">
        <f>IF(B17="","",IFERROR(LOOKUP(2,1/($B$2:B16=B17),$P$2:P16),VLOOKUP(B17,Baseline!$A$2:$H$10,8,FALSE))+IF(K17="Defence",1,0))</f>
        <v>254</v>
      </c>
      <c r="Q17" s="5"/>
      <c r="R17" s="12"/>
    </row>
    <row r="18" spans="1:18">
      <c r="A18" s="6" t="str">
        <f>IF(OR(B18="",C18=""),"",VLOOKUP(B18,Lists!$A$2:$B$10,2,FALSE)&amp;"-"&amp;TEXT(C18,"yyyymmdd")&amp;"-"&amp;TEXT(COUNTIFS($B$2:B18,B18,$C$2:C18,C18),"00"))</f>
        <v>CBB-20261018-01</v>
      </c>
      <c r="B18" s="5" t="s">
        <v>28</v>
      </c>
      <c r="C18" s="7">
        <v>46313</v>
      </c>
      <c r="D18" s="5" t="s">
        <v>31</v>
      </c>
      <c r="E18" s="5" t="s">
        <v>131</v>
      </c>
      <c r="F18" s="5" t="s">
        <v>57</v>
      </c>
      <c r="G18" s="5"/>
      <c r="H18" s="10"/>
      <c r="I18" s="5"/>
      <c r="J18" s="6" t="str">
        <f>IF(B18="","",IFERROR(LOOKUP(2,1/($B$2:B17=B18),$L$2:L17),VLOOKUP(B18,Baseline!$A$2:$H$10,4,FALSE)))</f>
        <v>Australia</v>
      </c>
      <c r="K18" s="6" t="str">
        <f t="shared" si="0"/>
        <v>Scheduled</v>
      </c>
      <c r="L18" s="6" t="str">
        <f t="shared" si="1"/>
        <v>Australia</v>
      </c>
      <c r="M18" s="8">
        <f>IF(B18="","",IF(K18="Transfer",C18,IFERROR(LOOKUP(2,1/($B$2:B17=B18),$M$2:M17),VLOOKUP(B18,Baseline!$A$2:$H$10,5,FALSE))))</f>
        <v>46308</v>
      </c>
      <c r="N18" s="6">
        <f>IF(B18="","",IF(K18="Transfer",0,IFERROR(LOOKUP(2,1/($B$2:B17=B18),$N$2:N17),VLOOKUP(B18,Baseline!$A$2:$H$10,6,FALSE))+IF(K18="Defence",1,0)))</f>
        <v>0</v>
      </c>
      <c r="O18" s="6">
        <f>IF(B18="","",IFERROR(LOOKUP(2,1/($B$2:B17=B18),$O$2:O17),VLOOKUP(B18,Baseline!$A$2:$H$10,7,FALSE))+IF(K18="Transfer",1,0))</f>
        <v>215</v>
      </c>
      <c r="P18" s="6">
        <f>IF(B18="","",IFERROR(LOOKUP(2,1/($B$2:B17=B18),$P$2:P17),VLOOKUP(B18,Baseline!$A$2:$H$10,8,FALSE))+IF(K18="Defence",1,0))</f>
        <v>404</v>
      </c>
      <c r="Q18" s="5"/>
      <c r="R18" s="12"/>
    </row>
    <row r="19" spans="1:18">
      <c r="A19" s="6" t="str">
        <f>IF(OR(B19="",C19=""),"",VLOOKUP(B19,Lists!$A$2:$B$10,2,FALSE)&amp;"-"&amp;TEXT(C19,"yyyymmdd")&amp;"-"&amp;TEXT(COUNTIFS($B$2:B19,B19,$C$2:C19,C19),"00"))</f>
        <v>TMT-20261215-01</v>
      </c>
      <c r="B19" s="5" t="s">
        <v>37</v>
      </c>
      <c r="C19" s="7">
        <v>46371</v>
      </c>
      <c r="D19" s="5" t="s">
        <v>133</v>
      </c>
      <c r="E19" s="5" t="s">
        <v>134</v>
      </c>
      <c r="F19" s="5" t="s">
        <v>57</v>
      </c>
      <c r="G19" s="5"/>
      <c r="H19" s="10"/>
      <c r="I19" s="5"/>
      <c r="J19" s="6" t="str">
        <f>IF(B19="","",IFERROR(LOOKUP(2,1/($B$2:B18=B19),$L$2:L18),VLOOKUP(B19,Baseline!$A$2:$H$10,4,FALSE)))</f>
        <v>Australia</v>
      </c>
      <c r="K19" s="6" t="str">
        <f t="shared" si="0"/>
        <v>Scheduled</v>
      </c>
      <c r="L19" s="6" t="str">
        <f t="shared" si="1"/>
        <v>Australia</v>
      </c>
      <c r="M19" s="8">
        <f>IF(B19="","",IF(K19="Transfer",C19,IFERROR(LOOKUP(2,1/($B$2:B18=B19),$M$2:M18),VLOOKUP(B19,Baseline!$A$2:$H$10,5,FALSE))))</f>
        <v>46077</v>
      </c>
      <c r="N19" s="6">
        <f>IF(B19="","",IF(K19="Transfer",0,IFERROR(LOOKUP(2,1/($B$2:B18=B19),$N$2:N18),VLOOKUP(B19,Baseline!$A$2:$H$10,6,FALSE))+IF(K19="Defence",1,0)))</f>
        <v>8</v>
      </c>
      <c r="O19" s="6">
        <f>IF(B19="","",IFERROR(LOOKUP(2,1/($B$2:B18=B19),$O$2:O18),VLOOKUP(B19,Baseline!$A$2:$H$10,7,FALSE))+IF(K19="Transfer",1,0))</f>
        <v>120</v>
      </c>
      <c r="P19" s="6">
        <f>IF(B19="","",IFERROR(LOOKUP(2,1/($B$2:B18=B19),$P$2:P18),VLOOKUP(B19,Baseline!$A$2:$H$10,8,FALSE))+IF(K19="Defence",1,0))</f>
        <v>254</v>
      </c>
      <c r="Q19" s="5"/>
      <c r="R19" s="12"/>
    </row>
    <row r="20" spans="1:18">
      <c r="A20" s="6" t="str">
        <f>IF(OR(B20="",C20=""),"",VLOOKUP(B20,Lists!$A$2:$B$10,2,FALSE)&amp;"-"&amp;TEXT(C20,"yyyymmdd")&amp;"-"&amp;TEXT(COUNTIFS($B$2:B20,B20,$C$2:C20,C20),"00"))</f>
        <v/>
      </c>
      <c r="B20" s="5"/>
      <c r="C20" s="7"/>
      <c r="D20" s="5"/>
      <c r="E20" s="5"/>
      <c r="F20" s="5"/>
      <c r="G20" s="5"/>
      <c r="H20" s="10"/>
      <c r="I20" s="5"/>
      <c r="J20" s="6" t="str">
        <f>IF(B20="","",IFERROR(LOOKUP(2,1/($B$2:B19=B20),$L$2:L19),VLOOKUP(B20,Baseline!$A$2:$H$10,4,FALSE)))</f>
        <v/>
      </c>
      <c r="K20" s="6" t="str">
        <f t="shared" si="0"/>
        <v/>
      </c>
      <c r="L20" s="6" t="str">
        <f t="shared" si="1"/>
        <v/>
      </c>
      <c r="M20" s="8" t="str">
        <f>IF(B20="","",IF(K20="Transfer",C20,IFERROR(LOOKUP(2,1/($B$2:B19=B20),$M$2:M19),VLOOKUP(B20,Baseline!$A$2:$H$10,5,FALSE))))</f>
        <v/>
      </c>
      <c r="N20" s="6" t="str">
        <f>IF(B20="","",IF(K20="Transfer",0,IFERROR(LOOKUP(2,1/($B$2:B19=B20),$N$2:N19),VLOOKUP(B20,Baseline!$A$2:$H$10,6,FALSE))+IF(K20="Defence",1,0)))</f>
        <v/>
      </c>
      <c r="O20" s="6" t="str">
        <f>IF(B20="","",IFERROR(LOOKUP(2,1/($B$2:B19=B20),$O$2:O19),VLOOKUP(B20,Baseline!$A$2:$H$10,7,FALSE))+IF(K20="Transfer",1,0))</f>
        <v/>
      </c>
      <c r="P20" s="6" t="str">
        <f>IF(B20="","",IFERROR(LOOKUP(2,1/($B$2:B19=B20),$P$2:P19),VLOOKUP(B20,Baseline!$A$2:$H$10,8,FALSE))+IF(K20="Defence",1,0))</f>
        <v/>
      </c>
      <c r="Q20" s="5"/>
      <c r="R20" s="12"/>
    </row>
    <row r="21" spans="1:18">
      <c r="A21" s="6" t="str">
        <f>IF(OR(B21="",C21=""),"",VLOOKUP(B21,Lists!$A$2:$B$10,2,FALSE)&amp;"-"&amp;TEXT(C21,"yyyymmdd")&amp;"-"&amp;TEXT(COUNTIFS($B$2:B21,B21,$C$2:C21,C21),"00"))</f>
        <v/>
      </c>
      <c r="B21" s="5"/>
      <c r="C21" s="7"/>
      <c r="D21" s="5"/>
      <c r="E21" s="5"/>
      <c r="F21" s="5"/>
      <c r="G21" s="5"/>
      <c r="H21" s="10"/>
      <c r="I21" s="5"/>
      <c r="J21" s="6" t="str">
        <f>IF(B21="","",IFERROR(LOOKUP(2,1/($B$2:B20=B21),$L$2:L20),VLOOKUP(B21,Baseline!$A$2:$H$10,4,FALSE)))</f>
        <v/>
      </c>
      <c r="K21" s="6" t="str">
        <f t="shared" si="0"/>
        <v/>
      </c>
      <c r="L21" s="6" t="str">
        <f t="shared" si="1"/>
        <v/>
      </c>
      <c r="M21" s="8" t="str">
        <f>IF(B21="","",IF(K21="Transfer",C21,IFERROR(LOOKUP(2,1/($B$2:B20=B21),$M$2:M20),VLOOKUP(B21,Baseline!$A$2:$H$10,5,FALSE))))</f>
        <v/>
      </c>
      <c r="N21" s="6" t="str">
        <f>IF(B21="","",IF(K21="Transfer",0,IFERROR(LOOKUP(2,1/($B$2:B20=B21),$N$2:N20),VLOOKUP(B21,Baseline!$A$2:$H$10,6,FALSE))+IF(K21="Defence",1,0)))</f>
        <v/>
      </c>
      <c r="O21" s="6" t="str">
        <f>IF(B21="","",IFERROR(LOOKUP(2,1/($B$2:B20=B21),$O$2:O20),VLOOKUP(B21,Baseline!$A$2:$H$10,7,FALSE))+IF(K21="Transfer",1,0))</f>
        <v/>
      </c>
      <c r="P21" s="6" t="str">
        <f>IF(B21="","",IFERROR(LOOKUP(2,1/($B$2:B20=B21),$P$2:P20),VLOOKUP(B21,Baseline!$A$2:$H$10,8,FALSE))+IF(K21="Defence",1,0))</f>
        <v/>
      </c>
      <c r="Q21" s="5"/>
      <c r="R21" s="12"/>
    </row>
    <row r="22" spans="1:18">
      <c r="A22" s="6" t="str">
        <f>IF(OR(B22="",C22=""),"",VLOOKUP(B22,Lists!$A$2:$B$10,2,FALSE)&amp;"-"&amp;TEXT(C22,"yyyymmdd")&amp;"-"&amp;TEXT(COUNTIFS($B$2:B22,B22,$C$2:C22,C22),"00"))</f>
        <v/>
      </c>
      <c r="B22" s="5"/>
      <c r="C22" s="7"/>
      <c r="D22" s="5"/>
      <c r="E22" s="5"/>
      <c r="F22" s="5"/>
      <c r="G22" s="5"/>
      <c r="H22" s="10"/>
      <c r="I22" s="5"/>
      <c r="J22" s="6" t="str">
        <f>IF(B22="","",IFERROR(LOOKUP(2,1/($B$2:B21=B22),$L$2:L21),VLOOKUP(B22,Baseline!$A$2:$H$10,4,FALSE)))</f>
        <v/>
      </c>
      <c r="K22" s="6" t="str">
        <f t="shared" si="0"/>
        <v/>
      </c>
      <c r="L22" s="6" t="str">
        <f t="shared" si="1"/>
        <v/>
      </c>
      <c r="M22" s="8" t="str">
        <f>IF(B22="","",IF(K22="Transfer",C22,IFERROR(LOOKUP(2,1/($B$2:B21=B22),$M$2:M21),VLOOKUP(B22,Baseline!$A$2:$H$10,5,FALSE))))</f>
        <v/>
      </c>
      <c r="N22" s="6" t="str">
        <f>IF(B22="","",IF(K22="Transfer",0,IFERROR(LOOKUP(2,1/($B$2:B21=B22),$N$2:N21),VLOOKUP(B22,Baseline!$A$2:$H$10,6,FALSE))+IF(K22="Defence",1,0)))</f>
        <v/>
      </c>
      <c r="O22" s="6" t="str">
        <f>IF(B22="","",IFERROR(LOOKUP(2,1/($B$2:B21=B22),$O$2:O21),VLOOKUP(B22,Baseline!$A$2:$H$10,7,FALSE))+IF(K22="Transfer",1,0))</f>
        <v/>
      </c>
      <c r="P22" s="6" t="str">
        <f>IF(B22="","",IFERROR(LOOKUP(2,1/($B$2:B21=B22),$P$2:P21),VLOOKUP(B22,Baseline!$A$2:$H$10,8,FALSE))+IF(K22="Defence",1,0))</f>
        <v/>
      </c>
      <c r="Q22" s="5"/>
      <c r="R22" s="12"/>
    </row>
    <row r="23" spans="1:18">
      <c r="A23" s="6" t="str">
        <f>IF(OR(B23="",C23=""),"",VLOOKUP(B23,Lists!$A$2:$B$10,2,FALSE)&amp;"-"&amp;TEXT(C23,"yyyymmdd")&amp;"-"&amp;TEXT(COUNTIFS($B$2:B23,B23,$C$2:C23,C23),"00"))</f>
        <v/>
      </c>
      <c r="B23" s="5"/>
      <c r="C23" s="7"/>
      <c r="D23" s="5"/>
      <c r="E23" s="5"/>
      <c r="F23" s="5"/>
      <c r="G23" s="5"/>
      <c r="H23" s="10"/>
      <c r="I23" s="5"/>
      <c r="J23" s="6" t="str">
        <f>IF(B23="","",IFERROR(LOOKUP(2,1/($B$2:B22=B23),$L$2:L22),VLOOKUP(B23,Baseline!$A$2:$H$10,4,FALSE)))</f>
        <v/>
      </c>
      <c r="K23" s="6" t="str">
        <f t="shared" si="0"/>
        <v/>
      </c>
      <c r="L23" s="6" t="str">
        <f t="shared" si="1"/>
        <v/>
      </c>
      <c r="M23" s="8" t="str">
        <f>IF(B23="","",IF(K23="Transfer",C23,IFERROR(LOOKUP(2,1/($B$2:B22=B23),$M$2:M22),VLOOKUP(B23,Baseline!$A$2:$H$10,5,FALSE))))</f>
        <v/>
      </c>
      <c r="N23" s="6" t="str">
        <f>IF(B23="","",IF(K23="Transfer",0,IFERROR(LOOKUP(2,1/($B$2:B22=B23),$N$2:N22),VLOOKUP(B23,Baseline!$A$2:$H$10,6,FALSE))+IF(K23="Defence",1,0)))</f>
        <v/>
      </c>
      <c r="O23" s="6" t="str">
        <f>IF(B23="","",IFERROR(LOOKUP(2,1/($B$2:B22=B23),$O$2:O22),VLOOKUP(B23,Baseline!$A$2:$H$10,7,FALSE))+IF(K23="Transfer",1,0))</f>
        <v/>
      </c>
      <c r="P23" s="6" t="str">
        <f>IF(B23="","",IFERROR(LOOKUP(2,1/($B$2:B22=B23),$P$2:P22),VLOOKUP(B23,Baseline!$A$2:$H$10,8,FALSE))+IF(K23="Defence",1,0))</f>
        <v/>
      </c>
      <c r="Q23" s="5"/>
      <c r="R23" s="12"/>
    </row>
    <row r="24" spans="1:18">
      <c r="A24" s="6" t="str">
        <f>IF(OR(B24="",C24=""),"",VLOOKUP(B24,Lists!$A$2:$B$10,2,FALSE)&amp;"-"&amp;TEXT(C24,"yyyymmdd")&amp;"-"&amp;TEXT(COUNTIFS($B$2:B24,B24,$C$2:C24,C24),"00"))</f>
        <v/>
      </c>
      <c r="B24" s="5"/>
      <c r="C24" s="7"/>
      <c r="D24" s="5"/>
      <c r="E24" s="5"/>
      <c r="F24" s="5"/>
      <c r="G24" s="5"/>
      <c r="H24" s="10"/>
      <c r="I24" s="5"/>
      <c r="J24" s="6" t="str">
        <f>IF(B24="","",IFERROR(LOOKUP(2,1/($B$2:B23=B24),$L$2:L23),VLOOKUP(B24,Baseline!$A$2:$H$10,4,FALSE)))</f>
        <v/>
      </c>
      <c r="K24" s="6" t="str">
        <f t="shared" si="0"/>
        <v/>
      </c>
      <c r="L24" s="6" t="str">
        <f t="shared" si="1"/>
        <v/>
      </c>
      <c r="M24" s="8" t="str">
        <f>IF(B24="","",IF(K24="Transfer",C24,IFERROR(LOOKUP(2,1/($B$2:B23=B24),$M$2:M23),VLOOKUP(B24,Baseline!$A$2:$H$10,5,FALSE))))</f>
        <v/>
      </c>
      <c r="N24" s="6" t="str">
        <f>IF(B24="","",IF(K24="Transfer",0,IFERROR(LOOKUP(2,1/($B$2:B23=B24),$N$2:N23),VLOOKUP(B24,Baseline!$A$2:$H$10,6,FALSE))+IF(K24="Defence",1,0)))</f>
        <v/>
      </c>
      <c r="O24" s="6" t="str">
        <f>IF(B24="","",IFERROR(LOOKUP(2,1/($B$2:B23=B24),$O$2:O23),VLOOKUP(B24,Baseline!$A$2:$H$10,7,FALSE))+IF(K24="Transfer",1,0))</f>
        <v/>
      </c>
      <c r="P24" s="6" t="str">
        <f>IF(B24="","",IFERROR(LOOKUP(2,1/($B$2:B23=B24),$P$2:P23),VLOOKUP(B24,Baseline!$A$2:$H$10,8,FALSE))+IF(K24="Defence",1,0))</f>
        <v/>
      </c>
      <c r="Q24" s="5"/>
      <c r="R24" s="12"/>
    </row>
    <row r="25" spans="1:18">
      <c r="A25" s="6" t="str">
        <f>IF(OR(B25="",C25=""),"",VLOOKUP(B25,Lists!$A$2:$B$10,2,FALSE)&amp;"-"&amp;TEXT(C25,"yyyymmdd")&amp;"-"&amp;TEXT(COUNTIFS($B$2:B25,B25,$C$2:C25,C25),"00"))</f>
        <v/>
      </c>
      <c r="B25" s="5"/>
      <c r="C25" s="7"/>
      <c r="D25" s="5"/>
      <c r="E25" s="5"/>
      <c r="F25" s="5"/>
      <c r="G25" s="5"/>
      <c r="H25" s="10"/>
      <c r="I25" s="5"/>
      <c r="J25" s="6" t="str">
        <f>IF(B25="","",IFERROR(LOOKUP(2,1/($B$2:B24=B25),$L$2:L24),VLOOKUP(B25,Baseline!$A$2:$H$10,4,FALSE)))</f>
        <v/>
      </c>
      <c r="K25" s="6" t="str">
        <f t="shared" si="0"/>
        <v/>
      </c>
      <c r="L25" s="6" t="str">
        <f t="shared" si="1"/>
        <v/>
      </c>
      <c r="M25" s="8" t="str">
        <f>IF(B25="","",IF(K25="Transfer",C25,IFERROR(LOOKUP(2,1/($B$2:B24=B25),$M$2:M24),VLOOKUP(B25,Baseline!$A$2:$H$10,5,FALSE))))</f>
        <v/>
      </c>
      <c r="N25" s="6" t="str">
        <f>IF(B25="","",IF(K25="Transfer",0,IFERROR(LOOKUP(2,1/($B$2:B24=B25),$N$2:N24),VLOOKUP(B25,Baseline!$A$2:$H$10,6,FALSE))+IF(K25="Defence",1,0)))</f>
        <v/>
      </c>
      <c r="O25" s="6" t="str">
        <f>IF(B25="","",IFERROR(LOOKUP(2,1/($B$2:B24=B25),$O$2:O24),VLOOKUP(B25,Baseline!$A$2:$H$10,7,FALSE))+IF(K25="Transfer",1,0))</f>
        <v/>
      </c>
      <c r="P25" s="6" t="str">
        <f>IF(B25="","",IFERROR(LOOKUP(2,1/($B$2:B24=B25),$P$2:P24),VLOOKUP(B25,Baseline!$A$2:$H$10,8,FALSE))+IF(K25="Defence",1,0))</f>
        <v/>
      </c>
      <c r="Q25" s="5"/>
      <c r="R25" s="12"/>
    </row>
    <row r="26" spans="1:18">
      <c r="A26" s="6" t="str">
        <f>IF(OR(B26="",C26=""),"",VLOOKUP(B26,Lists!$A$2:$B$10,2,FALSE)&amp;"-"&amp;TEXT(C26,"yyyymmdd")&amp;"-"&amp;TEXT(COUNTIFS($B$2:B26,B26,$C$2:C26,C26),"00"))</f>
        <v/>
      </c>
      <c r="B26" s="5"/>
      <c r="C26" s="7"/>
      <c r="D26" s="5"/>
      <c r="E26" s="5"/>
      <c r="F26" s="5"/>
      <c r="G26" s="5"/>
      <c r="H26" s="10"/>
      <c r="I26" s="5"/>
      <c r="J26" s="6" t="str">
        <f>IF(B26="","",IFERROR(LOOKUP(2,1/($B$2:B25=B26),$L$2:L25),VLOOKUP(B26,Baseline!$A$2:$H$10,4,FALSE)))</f>
        <v/>
      </c>
      <c r="K26" s="6" t="str">
        <f t="shared" si="0"/>
        <v/>
      </c>
      <c r="L26" s="6" t="str">
        <f t="shared" si="1"/>
        <v/>
      </c>
      <c r="M26" s="8" t="str">
        <f>IF(B26="","",IF(K26="Transfer",C26,IFERROR(LOOKUP(2,1/($B$2:B25=B26),$M$2:M25),VLOOKUP(B26,Baseline!$A$2:$H$10,5,FALSE))))</f>
        <v/>
      </c>
      <c r="N26" s="6" t="str">
        <f>IF(B26="","",IF(K26="Transfer",0,IFERROR(LOOKUP(2,1/($B$2:B25=B26),$N$2:N25),VLOOKUP(B26,Baseline!$A$2:$H$10,6,FALSE))+IF(K26="Defence",1,0)))</f>
        <v/>
      </c>
      <c r="O26" s="6" t="str">
        <f>IF(B26="","",IFERROR(LOOKUP(2,1/($B$2:B25=B26),$O$2:O25),VLOOKUP(B26,Baseline!$A$2:$H$10,7,FALSE))+IF(K26="Transfer",1,0))</f>
        <v/>
      </c>
      <c r="P26" s="6" t="str">
        <f>IF(B26="","",IFERROR(LOOKUP(2,1/($B$2:B25=B26),$P$2:P25),VLOOKUP(B26,Baseline!$A$2:$H$10,8,FALSE))+IF(K26="Defence",1,0))</f>
        <v/>
      </c>
      <c r="Q26" s="5"/>
      <c r="R26" s="12"/>
    </row>
    <row r="27" spans="1:18">
      <c r="A27" s="6" t="str">
        <f>IF(OR(B27="",C27=""),"",VLOOKUP(B27,Lists!$A$2:$B$10,2,FALSE)&amp;"-"&amp;TEXT(C27,"yyyymmdd")&amp;"-"&amp;TEXT(COUNTIFS($B$2:B27,B27,$C$2:C27,C27),"00"))</f>
        <v/>
      </c>
      <c r="B27" s="5"/>
      <c r="C27" s="7"/>
      <c r="D27" s="5"/>
      <c r="E27" s="5"/>
      <c r="F27" s="5"/>
      <c r="G27" s="5"/>
      <c r="H27" s="10"/>
      <c r="I27" s="5"/>
      <c r="J27" s="6" t="str">
        <f>IF(B27="","",IFERROR(LOOKUP(2,1/($B$2:B26=B27),$L$2:L26),VLOOKUP(B27,Baseline!$A$2:$H$10,4,FALSE)))</f>
        <v/>
      </c>
      <c r="K27" s="6" t="str">
        <f t="shared" si="0"/>
        <v/>
      </c>
      <c r="L27" s="6" t="str">
        <f t="shared" si="1"/>
        <v/>
      </c>
      <c r="M27" s="8" t="str">
        <f>IF(B27="","",IF(K27="Transfer",C27,IFERROR(LOOKUP(2,1/($B$2:B26=B27),$M$2:M26),VLOOKUP(B27,Baseline!$A$2:$H$10,5,FALSE))))</f>
        <v/>
      </c>
      <c r="N27" s="6" t="str">
        <f>IF(B27="","",IF(K27="Transfer",0,IFERROR(LOOKUP(2,1/($B$2:B26=B27),$N$2:N26),VLOOKUP(B27,Baseline!$A$2:$H$10,6,FALSE))+IF(K27="Defence",1,0)))</f>
        <v/>
      </c>
      <c r="O27" s="6" t="str">
        <f>IF(B27="","",IFERROR(LOOKUP(2,1/($B$2:B26=B27),$O$2:O26),VLOOKUP(B27,Baseline!$A$2:$H$10,7,FALSE))+IF(K27="Transfer",1,0))</f>
        <v/>
      </c>
      <c r="P27" s="6" t="str">
        <f>IF(B27="","",IFERROR(LOOKUP(2,1/($B$2:B26=B27),$P$2:P26),VLOOKUP(B27,Baseline!$A$2:$H$10,8,FALSE))+IF(K27="Defence",1,0))</f>
        <v/>
      </c>
      <c r="Q27" s="5"/>
      <c r="R27" s="12"/>
    </row>
    <row r="28" spans="1:18">
      <c r="A28" s="6" t="str">
        <f>IF(OR(B28="",C28=""),"",VLOOKUP(B28,Lists!$A$2:$B$10,2,FALSE)&amp;"-"&amp;TEXT(C28,"yyyymmdd")&amp;"-"&amp;TEXT(COUNTIFS($B$2:B28,B28,$C$2:C28,C28),"00"))</f>
        <v/>
      </c>
      <c r="B28" s="5"/>
      <c r="C28" s="7"/>
      <c r="D28" s="5"/>
      <c r="E28" s="5"/>
      <c r="F28" s="5"/>
      <c r="G28" s="5"/>
      <c r="H28" s="10"/>
      <c r="I28" s="5"/>
      <c r="J28" s="6" t="str">
        <f>IF(B28="","",IFERROR(LOOKUP(2,1/($B$2:B27=B28),$L$2:L27),VLOOKUP(B28,Baseline!$A$2:$H$10,4,FALSE)))</f>
        <v/>
      </c>
      <c r="K28" s="6" t="str">
        <f t="shared" si="0"/>
        <v/>
      </c>
      <c r="L28" s="6" t="str">
        <f t="shared" si="1"/>
        <v/>
      </c>
      <c r="M28" s="8" t="str">
        <f>IF(B28="","",IF(K28="Transfer",C28,IFERROR(LOOKUP(2,1/($B$2:B27=B28),$M$2:M27),VLOOKUP(B28,Baseline!$A$2:$H$10,5,FALSE))))</f>
        <v/>
      </c>
      <c r="N28" s="6" t="str">
        <f>IF(B28="","",IF(K28="Transfer",0,IFERROR(LOOKUP(2,1/($B$2:B27=B28),$N$2:N27),VLOOKUP(B28,Baseline!$A$2:$H$10,6,FALSE))+IF(K28="Defence",1,0)))</f>
        <v/>
      </c>
      <c r="O28" s="6" t="str">
        <f>IF(B28="","",IFERROR(LOOKUP(2,1/($B$2:B27=B28),$O$2:O27),VLOOKUP(B28,Baseline!$A$2:$H$10,7,FALSE))+IF(K28="Transfer",1,0))</f>
        <v/>
      </c>
      <c r="P28" s="6" t="str">
        <f>IF(B28="","",IFERROR(LOOKUP(2,1/($B$2:B27=B28),$P$2:P27),VLOOKUP(B28,Baseline!$A$2:$H$10,8,FALSE))+IF(K28="Defence",1,0))</f>
        <v/>
      </c>
      <c r="Q28" s="5"/>
      <c r="R28" s="12"/>
    </row>
    <row r="29" spans="1:18">
      <c r="A29" s="6" t="str">
        <f>IF(OR(B29="",C29=""),"",VLOOKUP(B29,Lists!$A$2:$B$10,2,FALSE)&amp;"-"&amp;TEXT(C29,"yyyymmdd")&amp;"-"&amp;TEXT(COUNTIFS($B$2:B29,B29,$C$2:C29,C29),"00"))</f>
        <v/>
      </c>
      <c r="B29" s="5"/>
      <c r="C29" s="7"/>
      <c r="D29" s="5"/>
      <c r="E29" s="5"/>
      <c r="F29" s="5"/>
      <c r="G29" s="5"/>
      <c r="H29" s="10"/>
      <c r="I29" s="5"/>
      <c r="J29" s="6" t="str">
        <f>IF(B29="","",IFERROR(LOOKUP(2,1/($B$2:B28=B29),$L$2:L28),VLOOKUP(B29,Baseline!$A$2:$H$10,4,FALSE)))</f>
        <v/>
      </c>
      <c r="K29" s="6" t="str">
        <f t="shared" si="0"/>
        <v/>
      </c>
      <c r="L29" s="6" t="str">
        <f t="shared" si="1"/>
        <v/>
      </c>
      <c r="M29" s="8" t="str">
        <f>IF(B29="","",IF(K29="Transfer",C29,IFERROR(LOOKUP(2,1/($B$2:B28=B29),$M$2:M28),VLOOKUP(B29,Baseline!$A$2:$H$10,5,FALSE))))</f>
        <v/>
      </c>
      <c r="N29" s="6" t="str">
        <f>IF(B29="","",IF(K29="Transfer",0,IFERROR(LOOKUP(2,1/($B$2:B28=B29),$N$2:N28),VLOOKUP(B29,Baseline!$A$2:$H$10,6,FALSE))+IF(K29="Defence",1,0)))</f>
        <v/>
      </c>
      <c r="O29" s="6" t="str">
        <f>IF(B29="","",IFERROR(LOOKUP(2,1/($B$2:B28=B29),$O$2:O28),VLOOKUP(B29,Baseline!$A$2:$H$10,7,FALSE))+IF(K29="Transfer",1,0))</f>
        <v/>
      </c>
      <c r="P29" s="6" t="str">
        <f>IF(B29="","",IFERROR(LOOKUP(2,1/($B$2:B28=B29),$P$2:P28),VLOOKUP(B29,Baseline!$A$2:$H$10,8,FALSE))+IF(K29="Defence",1,0))</f>
        <v/>
      </c>
      <c r="Q29" s="5"/>
      <c r="R29" s="12"/>
    </row>
    <row r="30" spans="1:18">
      <c r="A30" s="6" t="str">
        <f>IF(OR(B30="",C30=""),"",VLOOKUP(B30,Lists!$A$2:$B$10,2,FALSE)&amp;"-"&amp;TEXT(C30,"yyyymmdd")&amp;"-"&amp;TEXT(COUNTIFS($B$2:B30,B30,$C$2:C30,C30),"00"))</f>
        <v/>
      </c>
      <c r="B30" s="5"/>
      <c r="C30" s="7"/>
      <c r="D30" s="5"/>
      <c r="E30" s="5"/>
      <c r="F30" s="5"/>
      <c r="G30" s="5"/>
      <c r="H30" s="10"/>
      <c r="I30" s="5"/>
      <c r="J30" s="6" t="str">
        <f>IF(B30="","",IFERROR(LOOKUP(2,1/($B$2:B29=B30),$L$2:L29),VLOOKUP(B30,Baseline!$A$2:$H$10,4,FALSE)))</f>
        <v/>
      </c>
      <c r="K30" s="6" t="str">
        <f t="shared" si="0"/>
        <v/>
      </c>
      <c r="L30" s="6" t="str">
        <f t="shared" si="1"/>
        <v/>
      </c>
      <c r="M30" s="8" t="str">
        <f>IF(B30="","",IF(K30="Transfer",C30,IFERROR(LOOKUP(2,1/($B$2:B29=B30),$M$2:M29),VLOOKUP(B30,Baseline!$A$2:$H$10,5,FALSE))))</f>
        <v/>
      </c>
      <c r="N30" s="6" t="str">
        <f>IF(B30="","",IF(K30="Transfer",0,IFERROR(LOOKUP(2,1/($B$2:B29=B30),$N$2:N29),VLOOKUP(B30,Baseline!$A$2:$H$10,6,FALSE))+IF(K30="Defence",1,0)))</f>
        <v/>
      </c>
      <c r="O30" s="6" t="str">
        <f>IF(B30="","",IFERROR(LOOKUP(2,1/($B$2:B29=B30),$O$2:O29),VLOOKUP(B30,Baseline!$A$2:$H$10,7,FALSE))+IF(K30="Transfer",1,0))</f>
        <v/>
      </c>
      <c r="P30" s="6" t="str">
        <f>IF(B30="","",IFERROR(LOOKUP(2,1/($B$2:B29=B30),$P$2:P29),VLOOKUP(B30,Baseline!$A$2:$H$10,8,FALSE))+IF(K30="Defence",1,0))</f>
        <v/>
      </c>
      <c r="Q30" s="5"/>
      <c r="R30" s="12"/>
    </row>
    <row r="31" spans="1:18">
      <c r="A31" s="6" t="str">
        <f>IF(OR(B31="",C31=""),"",VLOOKUP(B31,Lists!$A$2:$B$10,2,FALSE)&amp;"-"&amp;TEXT(C31,"yyyymmdd")&amp;"-"&amp;TEXT(COUNTIFS($B$2:B31,B31,$C$2:C31,C31),"00"))</f>
        <v/>
      </c>
      <c r="B31" s="5"/>
      <c r="C31" s="7"/>
      <c r="D31" s="5"/>
      <c r="E31" s="5"/>
      <c r="F31" s="5"/>
      <c r="G31" s="5"/>
      <c r="H31" s="10"/>
      <c r="I31" s="5"/>
      <c r="J31" s="6" t="str">
        <f>IF(B31="","",IFERROR(LOOKUP(2,1/($B$2:B30=B31),$L$2:L30),VLOOKUP(B31,Baseline!$A$2:$H$10,4,FALSE)))</f>
        <v/>
      </c>
      <c r="K31" s="6" t="str">
        <f t="shared" si="0"/>
        <v/>
      </c>
      <c r="L31" s="6" t="str">
        <f t="shared" si="1"/>
        <v/>
      </c>
      <c r="M31" s="8" t="str">
        <f>IF(B31="","",IF(K31="Transfer",C31,IFERROR(LOOKUP(2,1/($B$2:B30=B31),$M$2:M30),VLOOKUP(B31,Baseline!$A$2:$H$10,5,FALSE))))</f>
        <v/>
      </c>
      <c r="N31" s="6" t="str">
        <f>IF(B31="","",IF(K31="Transfer",0,IFERROR(LOOKUP(2,1/($B$2:B30=B31),$N$2:N30),VLOOKUP(B31,Baseline!$A$2:$H$10,6,FALSE))+IF(K31="Defence",1,0)))</f>
        <v/>
      </c>
      <c r="O31" s="6" t="str">
        <f>IF(B31="","",IFERROR(LOOKUP(2,1/($B$2:B30=B31),$O$2:O30),VLOOKUP(B31,Baseline!$A$2:$H$10,7,FALSE))+IF(K31="Transfer",1,0))</f>
        <v/>
      </c>
      <c r="P31" s="6" t="str">
        <f>IF(B31="","",IFERROR(LOOKUP(2,1/($B$2:B30=B31),$P$2:P30),VLOOKUP(B31,Baseline!$A$2:$H$10,8,FALSE))+IF(K31="Defence",1,0))</f>
        <v/>
      </c>
      <c r="Q31" s="5"/>
      <c r="R31" s="12"/>
    </row>
    <row r="32" spans="1:18">
      <c r="A32" s="6" t="str">
        <f>IF(OR(B32="",C32=""),"",VLOOKUP(B32,Lists!$A$2:$B$10,2,FALSE)&amp;"-"&amp;TEXT(C32,"yyyymmdd")&amp;"-"&amp;TEXT(COUNTIFS($B$2:B32,B32,$C$2:C32,C32),"00"))</f>
        <v/>
      </c>
      <c r="B32" s="5"/>
      <c r="C32" s="7"/>
      <c r="D32" s="5"/>
      <c r="E32" s="5"/>
      <c r="F32" s="5"/>
      <c r="G32" s="5"/>
      <c r="H32" s="10"/>
      <c r="I32" s="5"/>
      <c r="J32" s="6" t="str">
        <f>IF(B32="","",IFERROR(LOOKUP(2,1/($B$2:B31=B32),$L$2:L31),VLOOKUP(B32,Baseline!$A$2:$H$10,4,FALSE)))</f>
        <v/>
      </c>
      <c r="K32" s="6" t="str">
        <f t="shared" si="0"/>
        <v/>
      </c>
      <c r="L32" s="6" t="str">
        <f t="shared" si="1"/>
        <v/>
      </c>
      <c r="M32" s="8" t="str">
        <f>IF(B32="","",IF(K32="Transfer",C32,IFERROR(LOOKUP(2,1/($B$2:B31=B32),$M$2:M31),VLOOKUP(B32,Baseline!$A$2:$H$10,5,FALSE))))</f>
        <v/>
      </c>
      <c r="N32" s="6" t="str">
        <f>IF(B32="","",IF(K32="Transfer",0,IFERROR(LOOKUP(2,1/($B$2:B31=B32),$N$2:N31),VLOOKUP(B32,Baseline!$A$2:$H$10,6,FALSE))+IF(K32="Defence",1,0)))</f>
        <v/>
      </c>
      <c r="O32" s="6" t="str">
        <f>IF(B32="","",IFERROR(LOOKUP(2,1/($B$2:B31=B32),$O$2:O31),VLOOKUP(B32,Baseline!$A$2:$H$10,7,FALSE))+IF(K32="Transfer",1,0))</f>
        <v/>
      </c>
      <c r="P32" s="6" t="str">
        <f>IF(B32="","",IFERROR(LOOKUP(2,1/($B$2:B31=B32),$P$2:P31),VLOOKUP(B32,Baseline!$A$2:$H$10,8,FALSE))+IF(K32="Defence",1,0))</f>
        <v/>
      </c>
      <c r="Q32" s="5"/>
      <c r="R32" s="12"/>
    </row>
    <row r="33" spans="1:18">
      <c r="A33" s="6" t="str">
        <f>IF(OR(B33="",C33=""),"",VLOOKUP(B33,Lists!$A$2:$B$10,2,FALSE)&amp;"-"&amp;TEXT(C33,"yyyymmdd")&amp;"-"&amp;TEXT(COUNTIFS($B$2:B33,B33,$C$2:C33,C33),"00"))</f>
        <v/>
      </c>
      <c r="B33" s="5"/>
      <c r="C33" s="7"/>
      <c r="D33" s="5"/>
      <c r="E33" s="5"/>
      <c r="F33" s="5"/>
      <c r="G33" s="5"/>
      <c r="H33" s="10"/>
      <c r="I33" s="5"/>
      <c r="J33" s="6" t="str">
        <f>IF(B33="","",IFERROR(LOOKUP(2,1/($B$2:B32=B33),$L$2:L32),VLOOKUP(B33,Baseline!$A$2:$H$10,4,FALSE)))</f>
        <v/>
      </c>
      <c r="K33" s="6" t="str">
        <f t="shared" si="0"/>
        <v/>
      </c>
      <c r="L33" s="6" t="str">
        <f t="shared" si="1"/>
        <v/>
      </c>
      <c r="M33" s="8" t="str">
        <f>IF(B33="","",IF(K33="Transfer",C33,IFERROR(LOOKUP(2,1/($B$2:B32=B33),$M$2:M32),VLOOKUP(B33,Baseline!$A$2:$H$10,5,FALSE))))</f>
        <v/>
      </c>
      <c r="N33" s="6" t="str">
        <f>IF(B33="","",IF(K33="Transfer",0,IFERROR(LOOKUP(2,1/($B$2:B32=B33),$N$2:N32),VLOOKUP(B33,Baseline!$A$2:$H$10,6,FALSE))+IF(K33="Defence",1,0)))</f>
        <v/>
      </c>
      <c r="O33" s="6" t="str">
        <f>IF(B33="","",IFERROR(LOOKUP(2,1/($B$2:B32=B33),$O$2:O32),VLOOKUP(B33,Baseline!$A$2:$H$10,7,FALSE))+IF(K33="Transfer",1,0))</f>
        <v/>
      </c>
      <c r="P33" s="6" t="str">
        <f>IF(B33="","",IFERROR(LOOKUP(2,1/($B$2:B32=B33),$P$2:P32),VLOOKUP(B33,Baseline!$A$2:$H$10,8,FALSE))+IF(K33="Defence",1,0))</f>
        <v/>
      </c>
      <c r="Q33" s="5"/>
      <c r="R33" s="12"/>
    </row>
    <row r="34" spans="1:18">
      <c r="A34" s="6" t="str">
        <f>IF(OR(B34="",C34=""),"",VLOOKUP(B34,Lists!$A$2:$B$10,2,FALSE)&amp;"-"&amp;TEXT(C34,"yyyymmdd")&amp;"-"&amp;TEXT(COUNTIFS($B$2:B34,B34,$C$2:C34,C34),"00"))</f>
        <v/>
      </c>
      <c r="B34" s="5"/>
      <c r="C34" s="7"/>
      <c r="D34" s="5"/>
      <c r="E34" s="5"/>
      <c r="F34" s="5"/>
      <c r="G34" s="5"/>
      <c r="H34" s="10"/>
      <c r="I34" s="5"/>
      <c r="J34" s="6" t="str">
        <f>IF(B34="","",IFERROR(LOOKUP(2,1/($B$2:B33=B34),$L$2:L33),VLOOKUP(B34,Baseline!$A$2:$H$10,4,FALSE)))</f>
        <v/>
      </c>
      <c r="K34" s="6" t="str">
        <f t="shared" ref="K34:K65" si="2">IF(B34="","",IF(F34&lt;&gt;"Completed",F34,IF(G34="Challenger win","Transfer",IF(OR(G34="Holder win",G34="Draw / tie"),"Defence",IF(G34="No result","No result","REVIEW")))))</f>
        <v/>
      </c>
      <c r="L34" s="6" t="str">
        <f t="shared" ref="L34:L65" si="3">IF(B34="","",IF(K34="Transfer",D34,J34))</f>
        <v/>
      </c>
      <c r="M34" s="8" t="str">
        <f>IF(B34="","",IF(K34="Transfer",C34,IFERROR(LOOKUP(2,1/($B$2:B33=B34),$M$2:M33),VLOOKUP(B34,Baseline!$A$2:$H$10,5,FALSE))))</f>
        <v/>
      </c>
      <c r="N34" s="6" t="str">
        <f>IF(B34="","",IF(K34="Transfer",0,IFERROR(LOOKUP(2,1/($B$2:B33=B34),$N$2:N33),VLOOKUP(B34,Baseline!$A$2:$H$10,6,FALSE))+IF(K34="Defence",1,0)))</f>
        <v/>
      </c>
      <c r="O34" s="6" t="str">
        <f>IF(B34="","",IFERROR(LOOKUP(2,1/($B$2:B33=B34),$O$2:O33),VLOOKUP(B34,Baseline!$A$2:$H$10,7,FALSE))+IF(K34="Transfer",1,0))</f>
        <v/>
      </c>
      <c r="P34" s="6" t="str">
        <f>IF(B34="","",IFERROR(LOOKUP(2,1/($B$2:B33=B34),$P$2:P33),VLOOKUP(B34,Baseline!$A$2:$H$10,8,FALSE))+IF(K34="Defence",1,0))</f>
        <v/>
      </c>
      <c r="Q34" s="5"/>
      <c r="R34" s="12"/>
    </row>
    <row r="35" spans="1:18">
      <c r="A35" s="6" t="str">
        <f>IF(OR(B35="",C35=""),"",VLOOKUP(B35,Lists!$A$2:$B$10,2,FALSE)&amp;"-"&amp;TEXT(C35,"yyyymmdd")&amp;"-"&amp;TEXT(COUNTIFS($B$2:B35,B35,$C$2:C35,C35),"00"))</f>
        <v/>
      </c>
      <c r="B35" s="5"/>
      <c r="C35" s="7"/>
      <c r="D35" s="5"/>
      <c r="E35" s="5"/>
      <c r="F35" s="5"/>
      <c r="G35" s="5"/>
      <c r="H35" s="10"/>
      <c r="I35" s="5"/>
      <c r="J35" s="6" t="str">
        <f>IF(B35="","",IFERROR(LOOKUP(2,1/($B$2:B34=B35),$L$2:L34),VLOOKUP(B35,Baseline!$A$2:$H$10,4,FALSE)))</f>
        <v/>
      </c>
      <c r="K35" s="6" t="str">
        <f t="shared" si="2"/>
        <v/>
      </c>
      <c r="L35" s="6" t="str">
        <f t="shared" si="3"/>
        <v/>
      </c>
      <c r="M35" s="8" t="str">
        <f>IF(B35="","",IF(K35="Transfer",C35,IFERROR(LOOKUP(2,1/($B$2:B34=B35),$M$2:M34),VLOOKUP(B35,Baseline!$A$2:$H$10,5,FALSE))))</f>
        <v/>
      </c>
      <c r="N35" s="6" t="str">
        <f>IF(B35="","",IF(K35="Transfer",0,IFERROR(LOOKUP(2,1/($B$2:B34=B35),$N$2:N34),VLOOKUP(B35,Baseline!$A$2:$H$10,6,FALSE))+IF(K35="Defence",1,0)))</f>
        <v/>
      </c>
      <c r="O35" s="6" t="str">
        <f>IF(B35="","",IFERROR(LOOKUP(2,1/($B$2:B34=B35),$O$2:O34),VLOOKUP(B35,Baseline!$A$2:$H$10,7,FALSE))+IF(K35="Transfer",1,0))</f>
        <v/>
      </c>
      <c r="P35" s="6" t="str">
        <f>IF(B35="","",IFERROR(LOOKUP(2,1/($B$2:B34=B35),$P$2:P34),VLOOKUP(B35,Baseline!$A$2:$H$10,8,FALSE))+IF(K35="Defence",1,0))</f>
        <v/>
      </c>
      <c r="Q35" s="5"/>
      <c r="R35" s="12"/>
    </row>
    <row r="36" spans="1:18">
      <c r="A36" s="6" t="str">
        <f>IF(OR(B36="",C36=""),"",VLOOKUP(B36,Lists!$A$2:$B$10,2,FALSE)&amp;"-"&amp;TEXT(C36,"yyyymmdd")&amp;"-"&amp;TEXT(COUNTIFS($B$2:B36,B36,$C$2:C36,C36),"00"))</f>
        <v/>
      </c>
      <c r="B36" s="5"/>
      <c r="C36" s="7"/>
      <c r="D36" s="5"/>
      <c r="E36" s="5"/>
      <c r="F36" s="5"/>
      <c r="G36" s="5"/>
      <c r="H36" s="10"/>
      <c r="I36" s="5"/>
      <c r="J36" s="6" t="str">
        <f>IF(B36="","",IFERROR(LOOKUP(2,1/($B$2:B35=B36),$L$2:L35),VLOOKUP(B36,Baseline!$A$2:$H$10,4,FALSE)))</f>
        <v/>
      </c>
      <c r="K36" s="6" t="str">
        <f t="shared" si="2"/>
        <v/>
      </c>
      <c r="L36" s="6" t="str">
        <f t="shared" si="3"/>
        <v/>
      </c>
      <c r="M36" s="8" t="str">
        <f>IF(B36="","",IF(K36="Transfer",C36,IFERROR(LOOKUP(2,1/($B$2:B35=B36),$M$2:M35),VLOOKUP(B36,Baseline!$A$2:$H$10,5,FALSE))))</f>
        <v/>
      </c>
      <c r="N36" s="6" t="str">
        <f>IF(B36="","",IF(K36="Transfer",0,IFERROR(LOOKUP(2,1/($B$2:B35=B36),$N$2:N35),VLOOKUP(B36,Baseline!$A$2:$H$10,6,FALSE))+IF(K36="Defence",1,0)))</f>
        <v/>
      </c>
      <c r="O36" s="6" t="str">
        <f>IF(B36="","",IFERROR(LOOKUP(2,1/($B$2:B35=B36),$O$2:O35),VLOOKUP(B36,Baseline!$A$2:$H$10,7,FALSE))+IF(K36="Transfer",1,0))</f>
        <v/>
      </c>
      <c r="P36" s="6" t="str">
        <f>IF(B36="","",IFERROR(LOOKUP(2,1/($B$2:B35=B36),$P$2:P35),VLOOKUP(B36,Baseline!$A$2:$H$10,8,FALSE))+IF(K36="Defence",1,0))</f>
        <v/>
      </c>
      <c r="Q36" s="5"/>
      <c r="R36" s="12"/>
    </row>
    <row r="37" spans="1:18">
      <c r="A37" s="6" t="str">
        <f>IF(OR(B37="",C37=""),"",VLOOKUP(B37,Lists!$A$2:$B$10,2,FALSE)&amp;"-"&amp;TEXT(C37,"yyyymmdd")&amp;"-"&amp;TEXT(COUNTIFS($B$2:B37,B37,$C$2:C37,C37),"00"))</f>
        <v/>
      </c>
      <c r="B37" s="5"/>
      <c r="C37" s="7"/>
      <c r="D37" s="5"/>
      <c r="E37" s="5"/>
      <c r="F37" s="5"/>
      <c r="G37" s="5"/>
      <c r="H37" s="10"/>
      <c r="I37" s="5"/>
      <c r="J37" s="6" t="str">
        <f>IF(B37="","",IFERROR(LOOKUP(2,1/($B$2:B36=B37),$L$2:L36),VLOOKUP(B37,Baseline!$A$2:$H$10,4,FALSE)))</f>
        <v/>
      </c>
      <c r="K37" s="6" t="str">
        <f t="shared" si="2"/>
        <v/>
      </c>
      <c r="L37" s="6" t="str">
        <f t="shared" si="3"/>
        <v/>
      </c>
      <c r="M37" s="8" t="str">
        <f>IF(B37="","",IF(K37="Transfer",C37,IFERROR(LOOKUP(2,1/($B$2:B36=B37),$M$2:M36),VLOOKUP(B37,Baseline!$A$2:$H$10,5,FALSE))))</f>
        <v/>
      </c>
      <c r="N37" s="6" t="str">
        <f>IF(B37="","",IF(K37="Transfer",0,IFERROR(LOOKUP(2,1/($B$2:B36=B37),$N$2:N36),VLOOKUP(B37,Baseline!$A$2:$H$10,6,FALSE))+IF(K37="Defence",1,0)))</f>
        <v/>
      </c>
      <c r="O37" s="6" t="str">
        <f>IF(B37="","",IFERROR(LOOKUP(2,1/($B$2:B36=B37),$O$2:O36),VLOOKUP(B37,Baseline!$A$2:$H$10,7,FALSE))+IF(K37="Transfer",1,0))</f>
        <v/>
      </c>
      <c r="P37" s="6" t="str">
        <f>IF(B37="","",IFERROR(LOOKUP(2,1/($B$2:B36=B37),$P$2:P36),VLOOKUP(B37,Baseline!$A$2:$H$10,8,FALSE))+IF(K37="Defence",1,0))</f>
        <v/>
      </c>
      <c r="Q37" s="5"/>
      <c r="R37" s="12"/>
    </row>
    <row r="38" spans="1:18">
      <c r="A38" s="6" t="str">
        <f>IF(OR(B38="",C38=""),"",VLOOKUP(B38,Lists!$A$2:$B$10,2,FALSE)&amp;"-"&amp;TEXT(C38,"yyyymmdd")&amp;"-"&amp;TEXT(COUNTIFS($B$2:B38,B38,$C$2:C38,C38),"00"))</f>
        <v/>
      </c>
      <c r="B38" s="5"/>
      <c r="C38" s="7"/>
      <c r="D38" s="5"/>
      <c r="E38" s="5"/>
      <c r="F38" s="5"/>
      <c r="G38" s="5"/>
      <c r="H38" s="10"/>
      <c r="I38" s="5"/>
      <c r="J38" s="6" t="str">
        <f>IF(B38="","",IFERROR(LOOKUP(2,1/($B$2:B37=B38),$L$2:L37),VLOOKUP(B38,Baseline!$A$2:$H$10,4,FALSE)))</f>
        <v/>
      </c>
      <c r="K38" s="6" t="str">
        <f t="shared" si="2"/>
        <v/>
      </c>
      <c r="L38" s="6" t="str">
        <f t="shared" si="3"/>
        <v/>
      </c>
      <c r="M38" s="8" t="str">
        <f>IF(B38="","",IF(K38="Transfer",C38,IFERROR(LOOKUP(2,1/($B$2:B37=B38),$M$2:M37),VLOOKUP(B38,Baseline!$A$2:$H$10,5,FALSE))))</f>
        <v/>
      </c>
      <c r="N38" s="6" t="str">
        <f>IF(B38="","",IF(K38="Transfer",0,IFERROR(LOOKUP(2,1/($B$2:B37=B38),$N$2:N37),VLOOKUP(B38,Baseline!$A$2:$H$10,6,FALSE))+IF(K38="Defence",1,0)))</f>
        <v/>
      </c>
      <c r="O38" s="6" t="str">
        <f>IF(B38="","",IFERROR(LOOKUP(2,1/($B$2:B37=B38),$O$2:O37),VLOOKUP(B38,Baseline!$A$2:$H$10,7,FALSE))+IF(K38="Transfer",1,0))</f>
        <v/>
      </c>
      <c r="P38" s="6" t="str">
        <f>IF(B38="","",IFERROR(LOOKUP(2,1/($B$2:B37=B38),$P$2:P37),VLOOKUP(B38,Baseline!$A$2:$H$10,8,FALSE))+IF(K38="Defence",1,0))</f>
        <v/>
      </c>
      <c r="Q38" s="5"/>
      <c r="R38" s="12"/>
    </row>
    <row r="39" spans="1:18">
      <c r="A39" s="6" t="str">
        <f>IF(OR(B39="",C39=""),"",VLOOKUP(B39,Lists!$A$2:$B$10,2,FALSE)&amp;"-"&amp;TEXT(C39,"yyyymmdd")&amp;"-"&amp;TEXT(COUNTIFS($B$2:B39,B39,$C$2:C39,C39),"00"))</f>
        <v/>
      </c>
      <c r="B39" s="5"/>
      <c r="C39" s="7"/>
      <c r="D39" s="5"/>
      <c r="E39" s="5"/>
      <c r="F39" s="5"/>
      <c r="G39" s="5"/>
      <c r="H39" s="10"/>
      <c r="I39" s="5"/>
      <c r="J39" s="6" t="str">
        <f>IF(B39="","",IFERROR(LOOKUP(2,1/($B$2:B38=B39),$L$2:L38),VLOOKUP(B39,Baseline!$A$2:$H$10,4,FALSE)))</f>
        <v/>
      </c>
      <c r="K39" s="6" t="str">
        <f t="shared" si="2"/>
        <v/>
      </c>
      <c r="L39" s="6" t="str">
        <f t="shared" si="3"/>
        <v/>
      </c>
      <c r="M39" s="8" t="str">
        <f>IF(B39="","",IF(K39="Transfer",C39,IFERROR(LOOKUP(2,1/($B$2:B38=B39),$M$2:M38),VLOOKUP(B39,Baseline!$A$2:$H$10,5,FALSE))))</f>
        <v/>
      </c>
      <c r="N39" s="6" t="str">
        <f>IF(B39="","",IF(K39="Transfer",0,IFERROR(LOOKUP(2,1/($B$2:B38=B39),$N$2:N38),VLOOKUP(B39,Baseline!$A$2:$H$10,6,FALSE))+IF(K39="Defence",1,0)))</f>
        <v/>
      </c>
      <c r="O39" s="6" t="str">
        <f>IF(B39="","",IFERROR(LOOKUP(2,1/($B$2:B38=B39),$O$2:O38),VLOOKUP(B39,Baseline!$A$2:$H$10,7,FALSE))+IF(K39="Transfer",1,0))</f>
        <v/>
      </c>
      <c r="P39" s="6" t="str">
        <f>IF(B39="","",IFERROR(LOOKUP(2,1/($B$2:B38=B39),$P$2:P38),VLOOKUP(B39,Baseline!$A$2:$H$10,8,FALSE))+IF(K39="Defence",1,0))</f>
        <v/>
      </c>
      <c r="Q39" s="5"/>
      <c r="R39" s="12"/>
    </row>
    <row r="40" spans="1:18">
      <c r="A40" s="6" t="str">
        <f>IF(OR(B40="",C40=""),"",VLOOKUP(B40,Lists!$A$2:$B$10,2,FALSE)&amp;"-"&amp;TEXT(C40,"yyyymmdd")&amp;"-"&amp;TEXT(COUNTIFS($B$2:B40,B40,$C$2:C40,C40),"00"))</f>
        <v/>
      </c>
      <c r="B40" s="5"/>
      <c r="C40" s="7"/>
      <c r="D40" s="5"/>
      <c r="E40" s="5"/>
      <c r="F40" s="5"/>
      <c r="G40" s="5"/>
      <c r="H40" s="10"/>
      <c r="I40" s="5"/>
      <c r="J40" s="6" t="str">
        <f>IF(B40="","",IFERROR(LOOKUP(2,1/($B$2:B39=B40),$L$2:L39),VLOOKUP(B40,Baseline!$A$2:$H$10,4,FALSE)))</f>
        <v/>
      </c>
      <c r="K40" s="6" t="str">
        <f t="shared" si="2"/>
        <v/>
      </c>
      <c r="L40" s="6" t="str">
        <f t="shared" si="3"/>
        <v/>
      </c>
      <c r="M40" s="8" t="str">
        <f>IF(B40="","",IF(K40="Transfer",C40,IFERROR(LOOKUP(2,1/($B$2:B39=B40),$M$2:M39),VLOOKUP(B40,Baseline!$A$2:$H$10,5,FALSE))))</f>
        <v/>
      </c>
      <c r="N40" s="6" t="str">
        <f>IF(B40="","",IF(K40="Transfer",0,IFERROR(LOOKUP(2,1/($B$2:B39=B40),$N$2:N39),VLOOKUP(B40,Baseline!$A$2:$H$10,6,FALSE))+IF(K40="Defence",1,0)))</f>
        <v/>
      </c>
      <c r="O40" s="6" t="str">
        <f>IF(B40="","",IFERROR(LOOKUP(2,1/($B$2:B39=B40),$O$2:O39),VLOOKUP(B40,Baseline!$A$2:$H$10,7,FALSE))+IF(K40="Transfer",1,0))</f>
        <v/>
      </c>
      <c r="P40" s="6" t="str">
        <f>IF(B40="","",IFERROR(LOOKUP(2,1/($B$2:B39=B40),$P$2:P39),VLOOKUP(B40,Baseline!$A$2:$H$10,8,FALSE))+IF(K40="Defence",1,0))</f>
        <v/>
      </c>
      <c r="Q40" s="5"/>
      <c r="R40" s="12"/>
    </row>
    <row r="41" spans="1:18">
      <c r="A41" s="6" t="str">
        <f>IF(OR(B41="",C41=""),"",VLOOKUP(B41,Lists!$A$2:$B$10,2,FALSE)&amp;"-"&amp;TEXT(C41,"yyyymmdd")&amp;"-"&amp;TEXT(COUNTIFS($B$2:B41,B41,$C$2:C41,C41),"00"))</f>
        <v/>
      </c>
      <c r="B41" s="5"/>
      <c r="C41" s="7"/>
      <c r="D41" s="5"/>
      <c r="E41" s="5"/>
      <c r="F41" s="5"/>
      <c r="G41" s="5"/>
      <c r="H41" s="10"/>
      <c r="I41" s="5"/>
      <c r="J41" s="6" t="str">
        <f>IF(B41="","",IFERROR(LOOKUP(2,1/($B$2:B40=B41),$L$2:L40),VLOOKUP(B41,Baseline!$A$2:$H$10,4,FALSE)))</f>
        <v/>
      </c>
      <c r="K41" s="6" t="str">
        <f t="shared" si="2"/>
        <v/>
      </c>
      <c r="L41" s="6" t="str">
        <f t="shared" si="3"/>
        <v/>
      </c>
      <c r="M41" s="8" t="str">
        <f>IF(B41="","",IF(K41="Transfer",C41,IFERROR(LOOKUP(2,1/($B$2:B40=B41),$M$2:M40),VLOOKUP(B41,Baseline!$A$2:$H$10,5,FALSE))))</f>
        <v/>
      </c>
      <c r="N41" s="6" t="str">
        <f>IF(B41="","",IF(K41="Transfer",0,IFERROR(LOOKUP(2,1/($B$2:B40=B41),$N$2:N40),VLOOKUP(B41,Baseline!$A$2:$H$10,6,FALSE))+IF(K41="Defence",1,0)))</f>
        <v/>
      </c>
      <c r="O41" s="6" t="str">
        <f>IF(B41="","",IFERROR(LOOKUP(2,1/($B$2:B40=B41),$O$2:O40),VLOOKUP(B41,Baseline!$A$2:$H$10,7,FALSE))+IF(K41="Transfer",1,0))</f>
        <v/>
      </c>
      <c r="P41" s="6" t="str">
        <f>IF(B41="","",IFERROR(LOOKUP(2,1/($B$2:B40=B41),$P$2:P40),VLOOKUP(B41,Baseline!$A$2:$H$10,8,FALSE))+IF(K41="Defence",1,0))</f>
        <v/>
      </c>
      <c r="Q41" s="5"/>
      <c r="R41" s="12"/>
    </row>
    <row r="42" spans="1:18">
      <c r="A42" s="6" t="str">
        <f>IF(OR(B42="",C42=""),"",VLOOKUP(B42,Lists!$A$2:$B$10,2,FALSE)&amp;"-"&amp;TEXT(C42,"yyyymmdd")&amp;"-"&amp;TEXT(COUNTIFS($B$2:B42,B42,$C$2:C42,C42),"00"))</f>
        <v/>
      </c>
      <c r="B42" s="5"/>
      <c r="C42" s="7"/>
      <c r="D42" s="5"/>
      <c r="E42" s="5"/>
      <c r="F42" s="5"/>
      <c r="G42" s="5"/>
      <c r="H42" s="10"/>
      <c r="I42" s="5"/>
      <c r="J42" s="6" t="str">
        <f>IF(B42="","",IFERROR(LOOKUP(2,1/($B$2:B41=B42),$L$2:L41),VLOOKUP(B42,Baseline!$A$2:$H$10,4,FALSE)))</f>
        <v/>
      </c>
      <c r="K42" s="6" t="str">
        <f t="shared" si="2"/>
        <v/>
      </c>
      <c r="L42" s="6" t="str">
        <f t="shared" si="3"/>
        <v/>
      </c>
      <c r="M42" s="8" t="str">
        <f>IF(B42="","",IF(K42="Transfer",C42,IFERROR(LOOKUP(2,1/($B$2:B41=B42),$M$2:M41),VLOOKUP(B42,Baseline!$A$2:$H$10,5,FALSE))))</f>
        <v/>
      </c>
      <c r="N42" s="6" t="str">
        <f>IF(B42="","",IF(K42="Transfer",0,IFERROR(LOOKUP(2,1/($B$2:B41=B42),$N$2:N41),VLOOKUP(B42,Baseline!$A$2:$H$10,6,FALSE))+IF(K42="Defence",1,0)))</f>
        <v/>
      </c>
      <c r="O42" s="6" t="str">
        <f>IF(B42="","",IFERROR(LOOKUP(2,1/($B$2:B41=B42),$O$2:O41),VLOOKUP(B42,Baseline!$A$2:$H$10,7,FALSE))+IF(K42="Transfer",1,0))</f>
        <v/>
      </c>
      <c r="P42" s="6" t="str">
        <f>IF(B42="","",IFERROR(LOOKUP(2,1/($B$2:B41=B42),$P$2:P41),VLOOKUP(B42,Baseline!$A$2:$H$10,8,FALSE))+IF(K42="Defence",1,0))</f>
        <v/>
      </c>
      <c r="Q42" s="5"/>
      <c r="R42" s="12"/>
    </row>
    <row r="43" spans="1:18">
      <c r="A43" s="6" t="str">
        <f>IF(OR(B43="",C43=""),"",VLOOKUP(B43,Lists!$A$2:$B$10,2,FALSE)&amp;"-"&amp;TEXT(C43,"yyyymmdd")&amp;"-"&amp;TEXT(COUNTIFS($B$2:B43,B43,$C$2:C43,C43),"00"))</f>
        <v/>
      </c>
      <c r="B43" s="5"/>
      <c r="C43" s="7"/>
      <c r="D43" s="5"/>
      <c r="E43" s="5"/>
      <c r="F43" s="5"/>
      <c r="G43" s="5"/>
      <c r="H43" s="10"/>
      <c r="I43" s="5"/>
      <c r="J43" s="6" t="str">
        <f>IF(B43="","",IFERROR(LOOKUP(2,1/($B$2:B42=B43),$L$2:L42),VLOOKUP(B43,Baseline!$A$2:$H$10,4,FALSE)))</f>
        <v/>
      </c>
      <c r="K43" s="6" t="str">
        <f t="shared" si="2"/>
        <v/>
      </c>
      <c r="L43" s="6" t="str">
        <f t="shared" si="3"/>
        <v/>
      </c>
      <c r="M43" s="8" t="str">
        <f>IF(B43="","",IF(K43="Transfer",C43,IFERROR(LOOKUP(2,1/($B$2:B42=B43),$M$2:M42),VLOOKUP(B43,Baseline!$A$2:$H$10,5,FALSE))))</f>
        <v/>
      </c>
      <c r="N43" s="6" t="str">
        <f>IF(B43="","",IF(K43="Transfer",0,IFERROR(LOOKUP(2,1/($B$2:B42=B43),$N$2:N42),VLOOKUP(B43,Baseline!$A$2:$H$10,6,FALSE))+IF(K43="Defence",1,0)))</f>
        <v/>
      </c>
      <c r="O43" s="6" t="str">
        <f>IF(B43="","",IFERROR(LOOKUP(2,1/($B$2:B42=B43),$O$2:O42),VLOOKUP(B43,Baseline!$A$2:$H$10,7,FALSE))+IF(K43="Transfer",1,0))</f>
        <v/>
      </c>
      <c r="P43" s="6" t="str">
        <f>IF(B43="","",IFERROR(LOOKUP(2,1/($B$2:B42=B43),$P$2:P42),VLOOKUP(B43,Baseline!$A$2:$H$10,8,FALSE))+IF(K43="Defence",1,0))</f>
        <v/>
      </c>
      <c r="Q43" s="5"/>
      <c r="R43" s="12"/>
    </row>
    <row r="44" spans="1:18">
      <c r="A44" s="6" t="str">
        <f>IF(OR(B44="",C44=""),"",VLOOKUP(B44,Lists!$A$2:$B$10,2,FALSE)&amp;"-"&amp;TEXT(C44,"yyyymmdd")&amp;"-"&amp;TEXT(COUNTIFS($B$2:B44,B44,$C$2:C44,C44),"00"))</f>
        <v/>
      </c>
      <c r="B44" s="5"/>
      <c r="C44" s="7"/>
      <c r="D44" s="5"/>
      <c r="E44" s="5"/>
      <c r="F44" s="5"/>
      <c r="G44" s="5"/>
      <c r="H44" s="10"/>
      <c r="I44" s="5"/>
      <c r="J44" s="6" t="str">
        <f>IF(B44="","",IFERROR(LOOKUP(2,1/($B$2:B43=B44),$L$2:L43),VLOOKUP(B44,Baseline!$A$2:$H$10,4,FALSE)))</f>
        <v/>
      </c>
      <c r="K44" s="6" t="str">
        <f t="shared" si="2"/>
        <v/>
      </c>
      <c r="L44" s="6" t="str">
        <f t="shared" si="3"/>
        <v/>
      </c>
      <c r="M44" s="8" t="str">
        <f>IF(B44="","",IF(K44="Transfer",C44,IFERROR(LOOKUP(2,1/($B$2:B43=B44),$M$2:M43),VLOOKUP(B44,Baseline!$A$2:$H$10,5,FALSE))))</f>
        <v/>
      </c>
      <c r="N44" s="6" t="str">
        <f>IF(B44="","",IF(K44="Transfer",0,IFERROR(LOOKUP(2,1/($B$2:B43=B44),$N$2:N43),VLOOKUP(B44,Baseline!$A$2:$H$10,6,FALSE))+IF(K44="Defence",1,0)))</f>
        <v/>
      </c>
      <c r="O44" s="6" t="str">
        <f>IF(B44="","",IFERROR(LOOKUP(2,1/($B$2:B43=B44),$O$2:O43),VLOOKUP(B44,Baseline!$A$2:$H$10,7,FALSE))+IF(K44="Transfer",1,0))</f>
        <v/>
      </c>
      <c r="P44" s="6" t="str">
        <f>IF(B44="","",IFERROR(LOOKUP(2,1/($B$2:B43=B44),$P$2:P43),VLOOKUP(B44,Baseline!$A$2:$H$10,8,FALSE))+IF(K44="Defence",1,0))</f>
        <v/>
      </c>
      <c r="Q44" s="5"/>
      <c r="R44" s="12"/>
    </row>
    <row r="45" spans="1:18">
      <c r="A45" s="6" t="str">
        <f>IF(OR(B45="",C45=""),"",VLOOKUP(B45,Lists!$A$2:$B$10,2,FALSE)&amp;"-"&amp;TEXT(C45,"yyyymmdd")&amp;"-"&amp;TEXT(COUNTIFS($B$2:B45,B45,$C$2:C45,C45),"00"))</f>
        <v/>
      </c>
      <c r="B45" s="5"/>
      <c r="C45" s="7"/>
      <c r="D45" s="5"/>
      <c r="E45" s="5"/>
      <c r="F45" s="5"/>
      <c r="G45" s="5"/>
      <c r="H45" s="10"/>
      <c r="I45" s="5"/>
      <c r="J45" s="6" t="str">
        <f>IF(B45="","",IFERROR(LOOKUP(2,1/($B$2:B44=B45),$L$2:L44),VLOOKUP(B45,Baseline!$A$2:$H$10,4,FALSE)))</f>
        <v/>
      </c>
      <c r="K45" s="6" t="str">
        <f t="shared" si="2"/>
        <v/>
      </c>
      <c r="L45" s="6" t="str">
        <f t="shared" si="3"/>
        <v/>
      </c>
      <c r="M45" s="8" t="str">
        <f>IF(B45="","",IF(K45="Transfer",C45,IFERROR(LOOKUP(2,1/($B$2:B44=B45),$M$2:M44),VLOOKUP(B45,Baseline!$A$2:$H$10,5,FALSE))))</f>
        <v/>
      </c>
      <c r="N45" s="6" t="str">
        <f>IF(B45="","",IF(K45="Transfer",0,IFERROR(LOOKUP(2,1/($B$2:B44=B45),$N$2:N44),VLOOKUP(B45,Baseline!$A$2:$H$10,6,FALSE))+IF(K45="Defence",1,0)))</f>
        <v/>
      </c>
      <c r="O45" s="6" t="str">
        <f>IF(B45="","",IFERROR(LOOKUP(2,1/($B$2:B44=B45),$O$2:O44),VLOOKUP(B45,Baseline!$A$2:$H$10,7,FALSE))+IF(K45="Transfer",1,0))</f>
        <v/>
      </c>
      <c r="P45" s="6" t="str">
        <f>IF(B45="","",IFERROR(LOOKUP(2,1/($B$2:B44=B45),$P$2:P44),VLOOKUP(B45,Baseline!$A$2:$H$10,8,FALSE))+IF(K45="Defence",1,0))</f>
        <v/>
      </c>
      <c r="Q45" s="5"/>
      <c r="R45" s="12"/>
    </row>
    <row r="46" spans="1:18">
      <c r="A46" s="6" t="str">
        <f>IF(OR(B46="",C46=""),"",VLOOKUP(B46,Lists!$A$2:$B$10,2,FALSE)&amp;"-"&amp;TEXT(C46,"yyyymmdd")&amp;"-"&amp;TEXT(COUNTIFS($B$2:B46,B46,$C$2:C46,C46),"00"))</f>
        <v/>
      </c>
      <c r="B46" s="5"/>
      <c r="C46" s="7"/>
      <c r="D46" s="5"/>
      <c r="E46" s="5"/>
      <c r="F46" s="5"/>
      <c r="G46" s="5"/>
      <c r="H46" s="10"/>
      <c r="I46" s="5"/>
      <c r="J46" s="6" t="str">
        <f>IF(B46="","",IFERROR(LOOKUP(2,1/($B$2:B45=B46),$L$2:L45),VLOOKUP(B46,Baseline!$A$2:$H$10,4,FALSE)))</f>
        <v/>
      </c>
      <c r="K46" s="6" t="str">
        <f t="shared" si="2"/>
        <v/>
      </c>
      <c r="L46" s="6" t="str">
        <f t="shared" si="3"/>
        <v/>
      </c>
      <c r="M46" s="8" t="str">
        <f>IF(B46="","",IF(K46="Transfer",C46,IFERROR(LOOKUP(2,1/($B$2:B45=B46),$M$2:M45),VLOOKUP(B46,Baseline!$A$2:$H$10,5,FALSE))))</f>
        <v/>
      </c>
      <c r="N46" s="6" t="str">
        <f>IF(B46="","",IF(K46="Transfer",0,IFERROR(LOOKUP(2,1/($B$2:B45=B46),$N$2:N45),VLOOKUP(B46,Baseline!$A$2:$H$10,6,FALSE))+IF(K46="Defence",1,0)))</f>
        <v/>
      </c>
      <c r="O46" s="6" t="str">
        <f>IF(B46="","",IFERROR(LOOKUP(2,1/($B$2:B45=B46),$O$2:O45),VLOOKUP(B46,Baseline!$A$2:$H$10,7,FALSE))+IF(K46="Transfer",1,0))</f>
        <v/>
      </c>
      <c r="P46" s="6" t="str">
        <f>IF(B46="","",IFERROR(LOOKUP(2,1/($B$2:B45=B46),$P$2:P45),VLOOKUP(B46,Baseline!$A$2:$H$10,8,FALSE))+IF(K46="Defence",1,0))</f>
        <v/>
      </c>
      <c r="Q46" s="5"/>
      <c r="R46" s="12"/>
    </row>
    <row r="47" spans="1:18">
      <c r="A47" s="6" t="str">
        <f>IF(OR(B47="",C47=""),"",VLOOKUP(B47,Lists!$A$2:$B$10,2,FALSE)&amp;"-"&amp;TEXT(C47,"yyyymmdd")&amp;"-"&amp;TEXT(COUNTIFS($B$2:B47,B47,$C$2:C47,C47),"00"))</f>
        <v/>
      </c>
      <c r="B47" s="5"/>
      <c r="C47" s="7"/>
      <c r="D47" s="5"/>
      <c r="E47" s="5"/>
      <c r="F47" s="5"/>
      <c r="G47" s="5"/>
      <c r="H47" s="10"/>
      <c r="I47" s="5"/>
      <c r="J47" s="6" t="str">
        <f>IF(B47="","",IFERROR(LOOKUP(2,1/($B$2:B46=B47),$L$2:L46),VLOOKUP(B47,Baseline!$A$2:$H$10,4,FALSE)))</f>
        <v/>
      </c>
      <c r="K47" s="6" t="str">
        <f t="shared" si="2"/>
        <v/>
      </c>
      <c r="L47" s="6" t="str">
        <f t="shared" si="3"/>
        <v/>
      </c>
      <c r="M47" s="8" t="str">
        <f>IF(B47="","",IF(K47="Transfer",C47,IFERROR(LOOKUP(2,1/($B$2:B46=B47),$M$2:M46),VLOOKUP(B47,Baseline!$A$2:$H$10,5,FALSE))))</f>
        <v/>
      </c>
      <c r="N47" s="6" t="str">
        <f>IF(B47="","",IF(K47="Transfer",0,IFERROR(LOOKUP(2,1/($B$2:B46=B47),$N$2:N46),VLOOKUP(B47,Baseline!$A$2:$H$10,6,FALSE))+IF(K47="Defence",1,0)))</f>
        <v/>
      </c>
      <c r="O47" s="6" t="str">
        <f>IF(B47="","",IFERROR(LOOKUP(2,1/($B$2:B46=B47),$O$2:O46),VLOOKUP(B47,Baseline!$A$2:$H$10,7,FALSE))+IF(K47="Transfer",1,0))</f>
        <v/>
      </c>
      <c r="P47" s="6" t="str">
        <f>IF(B47="","",IFERROR(LOOKUP(2,1/($B$2:B46=B47),$P$2:P46),VLOOKUP(B47,Baseline!$A$2:$H$10,8,FALSE))+IF(K47="Defence",1,0))</f>
        <v/>
      </c>
      <c r="Q47" s="5"/>
      <c r="R47" s="12"/>
    </row>
    <row r="48" spans="1:18">
      <c r="A48" s="6" t="str">
        <f>IF(OR(B48="",C48=""),"",VLOOKUP(B48,Lists!$A$2:$B$10,2,FALSE)&amp;"-"&amp;TEXT(C48,"yyyymmdd")&amp;"-"&amp;TEXT(COUNTIFS($B$2:B48,B48,$C$2:C48,C48),"00"))</f>
        <v/>
      </c>
      <c r="B48" s="5"/>
      <c r="C48" s="7"/>
      <c r="D48" s="5"/>
      <c r="E48" s="5"/>
      <c r="F48" s="5"/>
      <c r="G48" s="5"/>
      <c r="H48" s="10"/>
      <c r="I48" s="5"/>
      <c r="J48" s="6" t="str">
        <f>IF(B48="","",IFERROR(LOOKUP(2,1/($B$2:B47=B48),$L$2:L47),VLOOKUP(B48,Baseline!$A$2:$H$10,4,FALSE)))</f>
        <v/>
      </c>
      <c r="K48" s="6" t="str">
        <f t="shared" si="2"/>
        <v/>
      </c>
      <c r="L48" s="6" t="str">
        <f t="shared" si="3"/>
        <v/>
      </c>
      <c r="M48" s="8" t="str">
        <f>IF(B48="","",IF(K48="Transfer",C48,IFERROR(LOOKUP(2,1/($B$2:B47=B48),$M$2:M47),VLOOKUP(B48,Baseline!$A$2:$H$10,5,FALSE))))</f>
        <v/>
      </c>
      <c r="N48" s="6" t="str">
        <f>IF(B48="","",IF(K48="Transfer",0,IFERROR(LOOKUP(2,1/($B$2:B47=B48),$N$2:N47),VLOOKUP(B48,Baseline!$A$2:$H$10,6,FALSE))+IF(K48="Defence",1,0)))</f>
        <v/>
      </c>
      <c r="O48" s="6" t="str">
        <f>IF(B48="","",IFERROR(LOOKUP(2,1/($B$2:B47=B48),$O$2:O47),VLOOKUP(B48,Baseline!$A$2:$H$10,7,FALSE))+IF(K48="Transfer",1,0))</f>
        <v/>
      </c>
      <c r="P48" s="6" t="str">
        <f>IF(B48="","",IFERROR(LOOKUP(2,1/($B$2:B47=B48),$P$2:P47),VLOOKUP(B48,Baseline!$A$2:$H$10,8,FALSE))+IF(K48="Defence",1,0))</f>
        <v/>
      </c>
      <c r="Q48" s="5"/>
      <c r="R48" s="12"/>
    </row>
    <row r="49" spans="1:18">
      <c r="A49" s="6" t="str">
        <f>IF(OR(B49="",C49=""),"",VLOOKUP(B49,Lists!$A$2:$B$10,2,FALSE)&amp;"-"&amp;TEXT(C49,"yyyymmdd")&amp;"-"&amp;TEXT(COUNTIFS($B$2:B49,B49,$C$2:C49,C49),"00"))</f>
        <v/>
      </c>
      <c r="B49" s="5"/>
      <c r="C49" s="7"/>
      <c r="D49" s="5"/>
      <c r="E49" s="5"/>
      <c r="F49" s="5"/>
      <c r="G49" s="5"/>
      <c r="H49" s="10"/>
      <c r="I49" s="5"/>
      <c r="J49" s="6" t="str">
        <f>IF(B49="","",IFERROR(LOOKUP(2,1/($B$2:B48=B49),$L$2:L48),VLOOKUP(B49,Baseline!$A$2:$H$10,4,FALSE)))</f>
        <v/>
      </c>
      <c r="K49" s="6" t="str">
        <f t="shared" si="2"/>
        <v/>
      </c>
      <c r="L49" s="6" t="str">
        <f t="shared" si="3"/>
        <v/>
      </c>
      <c r="M49" s="8" t="str">
        <f>IF(B49="","",IF(K49="Transfer",C49,IFERROR(LOOKUP(2,1/($B$2:B48=B49),$M$2:M48),VLOOKUP(B49,Baseline!$A$2:$H$10,5,FALSE))))</f>
        <v/>
      </c>
      <c r="N49" s="6" t="str">
        <f>IF(B49="","",IF(K49="Transfer",0,IFERROR(LOOKUP(2,1/($B$2:B48=B49),$N$2:N48),VLOOKUP(B49,Baseline!$A$2:$H$10,6,FALSE))+IF(K49="Defence",1,0)))</f>
        <v/>
      </c>
      <c r="O49" s="6" t="str">
        <f>IF(B49="","",IFERROR(LOOKUP(2,1/($B$2:B48=B49),$O$2:O48),VLOOKUP(B49,Baseline!$A$2:$H$10,7,FALSE))+IF(K49="Transfer",1,0))</f>
        <v/>
      </c>
      <c r="P49" s="6" t="str">
        <f>IF(B49="","",IFERROR(LOOKUP(2,1/($B$2:B48=B49),$P$2:P48),VLOOKUP(B49,Baseline!$A$2:$H$10,8,FALSE))+IF(K49="Defence",1,0))</f>
        <v/>
      </c>
      <c r="Q49" s="5"/>
      <c r="R49" s="12"/>
    </row>
    <row r="50" spans="1:18">
      <c r="A50" s="6" t="str">
        <f>IF(OR(B50="",C50=""),"",VLOOKUP(B50,Lists!$A$2:$B$10,2,FALSE)&amp;"-"&amp;TEXT(C50,"yyyymmdd")&amp;"-"&amp;TEXT(COUNTIFS($B$2:B50,B50,$C$2:C50,C50),"00"))</f>
        <v/>
      </c>
      <c r="B50" s="5"/>
      <c r="C50" s="7"/>
      <c r="D50" s="5"/>
      <c r="E50" s="5"/>
      <c r="F50" s="5"/>
      <c r="G50" s="5"/>
      <c r="H50" s="10"/>
      <c r="I50" s="5"/>
      <c r="J50" s="6" t="str">
        <f>IF(B50="","",IFERROR(LOOKUP(2,1/($B$2:B49=B50),$L$2:L49),VLOOKUP(B50,Baseline!$A$2:$H$10,4,FALSE)))</f>
        <v/>
      </c>
      <c r="K50" s="6" t="str">
        <f t="shared" si="2"/>
        <v/>
      </c>
      <c r="L50" s="6" t="str">
        <f t="shared" si="3"/>
        <v/>
      </c>
      <c r="M50" s="8" t="str">
        <f>IF(B50="","",IF(K50="Transfer",C50,IFERROR(LOOKUP(2,1/($B$2:B49=B50),$M$2:M49),VLOOKUP(B50,Baseline!$A$2:$H$10,5,FALSE))))</f>
        <v/>
      </c>
      <c r="N50" s="6" t="str">
        <f>IF(B50="","",IF(K50="Transfer",0,IFERROR(LOOKUP(2,1/($B$2:B49=B50),$N$2:N49),VLOOKUP(B50,Baseline!$A$2:$H$10,6,FALSE))+IF(K50="Defence",1,0)))</f>
        <v/>
      </c>
      <c r="O50" s="6" t="str">
        <f>IF(B50="","",IFERROR(LOOKUP(2,1/($B$2:B49=B50),$O$2:O49),VLOOKUP(B50,Baseline!$A$2:$H$10,7,FALSE))+IF(K50="Transfer",1,0))</f>
        <v/>
      </c>
      <c r="P50" s="6" t="str">
        <f>IF(B50="","",IFERROR(LOOKUP(2,1/($B$2:B49=B50),$P$2:P49),VLOOKUP(B50,Baseline!$A$2:$H$10,8,FALSE))+IF(K50="Defence",1,0))</f>
        <v/>
      </c>
      <c r="Q50" s="5"/>
      <c r="R50" s="12"/>
    </row>
    <row r="51" spans="1:18">
      <c r="A51" s="6" t="str">
        <f>IF(OR(B51="",C51=""),"",VLOOKUP(B51,Lists!$A$2:$B$10,2,FALSE)&amp;"-"&amp;TEXT(C51,"yyyymmdd")&amp;"-"&amp;TEXT(COUNTIFS($B$2:B51,B51,$C$2:C51,C51),"00"))</f>
        <v/>
      </c>
      <c r="B51" s="5"/>
      <c r="C51" s="7"/>
      <c r="D51" s="5"/>
      <c r="E51" s="5"/>
      <c r="F51" s="5"/>
      <c r="G51" s="5"/>
      <c r="H51" s="10"/>
      <c r="I51" s="5"/>
      <c r="J51" s="6" t="str">
        <f>IF(B51="","",IFERROR(LOOKUP(2,1/($B$2:B50=B51),$L$2:L50),VLOOKUP(B51,Baseline!$A$2:$H$10,4,FALSE)))</f>
        <v/>
      </c>
      <c r="K51" s="6" t="str">
        <f t="shared" si="2"/>
        <v/>
      </c>
      <c r="L51" s="6" t="str">
        <f t="shared" si="3"/>
        <v/>
      </c>
      <c r="M51" s="8" t="str">
        <f>IF(B51="","",IF(K51="Transfer",C51,IFERROR(LOOKUP(2,1/($B$2:B50=B51),$M$2:M50),VLOOKUP(B51,Baseline!$A$2:$H$10,5,FALSE))))</f>
        <v/>
      </c>
      <c r="N51" s="6" t="str">
        <f>IF(B51="","",IF(K51="Transfer",0,IFERROR(LOOKUP(2,1/($B$2:B50=B51),$N$2:N50),VLOOKUP(B51,Baseline!$A$2:$H$10,6,FALSE))+IF(K51="Defence",1,0)))</f>
        <v/>
      </c>
      <c r="O51" s="6" t="str">
        <f>IF(B51="","",IFERROR(LOOKUP(2,1/($B$2:B50=B51),$O$2:O50),VLOOKUP(B51,Baseline!$A$2:$H$10,7,FALSE))+IF(K51="Transfer",1,0))</f>
        <v/>
      </c>
      <c r="P51" s="6" t="str">
        <f>IF(B51="","",IFERROR(LOOKUP(2,1/($B$2:B50=B51),$P$2:P50),VLOOKUP(B51,Baseline!$A$2:$H$10,8,FALSE))+IF(K51="Defence",1,0))</f>
        <v/>
      </c>
      <c r="Q51" s="5"/>
      <c r="R51" s="12"/>
    </row>
    <row r="52" spans="1:18">
      <c r="A52" s="6" t="str">
        <f>IF(OR(B52="",C52=""),"",VLOOKUP(B52,Lists!$A$2:$B$10,2,FALSE)&amp;"-"&amp;TEXT(C52,"yyyymmdd")&amp;"-"&amp;TEXT(COUNTIFS($B$2:B52,B52,$C$2:C52,C52),"00"))</f>
        <v/>
      </c>
      <c r="B52" s="5"/>
      <c r="C52" s="7"/>
      <c r="D52" s="5"/>
      <c r="E52" s="5"/>
      <c r="F52" s="5"/>
      <c r="G52" s="5"/>
      <c r="H52" s="10"/>
      <c r="I52" s="5"/>
      <c r="J52" s="6" t="str">
        <f>IF(B52="","",IFERROR(LOOKUP(2,1/($B$2:B51=B52),$L$2:L51),VLOOKUP(B52,Baseline!$A$2:$H$10,4,FALSE)))</f>
        <v/>
      </c>
      <c r="K52" s="6" t="str">
        <f t="shared" si="2"/>
        <v/>
      </c>
      <c r="L52" s="6" t="str">
        <f t="shared" si="3"/>
        <v/>
      </c>
      <c r="M52" s="8" t="str">
        <f>IF(B52="","",IF(K52="Transfer",C52,IFERROR(LOOKUP(2,1/($B$2:B51=B52),$M$2:M51),VLOOKUP(B52,Baseline!$A$2:$H$10,5,FALSE))))</f>
        <v/>
      </c>
      <c r="N52" s="6" t="str">
        <f>IF(B52="","",IF(K52="Transfer",0,IFERROR(LOOKUP(2,1/($B$2:B51=B52),$N$2:N51),VLOOKUP(B52,Baseline!$A$2:$H$10,6,FALSE))+IF(K52="Defence",1,0)))</f>
        <v/>
      </c>
      <c r="O52" s="6" t="str">
        <f>IF(B52="","",IFERROR(LOOKUP(2,1/($B$2:B51=B52),$O$2:O51),VLOOKUP(B52,Baseline!$A$2:$H$10,7,FALSE))+IF(K52="Transfer",1,0))</f>
        <v/>
      </c>
      <c r="P52" s="6" t="str">
        <f>IF(B52="","",IFERROR(LOOKUP(2,1/($B$2:B51=B52),$P$2:P51),VLOOKUP(B52,Baseline!$A$2:$H$10,8,FALSE))+IF(K52="Defence",1,0))</f>
        <v/>
      </c>
      <c r="Q52" s="5"/>
      <c r="R52" s="12"/>
    </row>
    <row r="53" spans="1:18">
      <c r="A53" s="6" t="str">
        <f>IF(OR(B53="",C53=""),"",VLOOKUP(B53,Lists!$A$2:$B$10,2,FALSE)&amp;"-"&amp;TEXT(C53,"yyyymmdd")&amp;"-"&amp;TEXT(COUNTIFS($B$2:B53,B53,$C$2:C53,C53),"00"))</f>
        <v/>
      </c>
      <c r="B53" s="5"/>
      <c r="C53" s="7"/>
      <c r="D53" s="5"/>
      <c r="E53" s="5"/>
      <c r="F53" s="5"/>
      <c r="G53" s="5"/>
      <c r="H53" s="10"/>
      <c r="I53" s="5"/>
      <c r="J53" s="6" t="str">
        <f>IF(B53="","",IFERROR(LOOKUP(2,1/($B$2:B52=B53),$L$2:L52),VLOOKUP(B53,Baseline!$A$2:$H$10,4,FALSE)))</f>
        <v/>
      </c>
      <c r="K53" s="6" t="str">
        <f t="shared" si="2"/>
        <v/>
      </c>
      <c r="L53" s="6" t="str">
        <f t="shared" si="3"/>
        <v/>
      </c>
      <c r="M53" s="8" t="str">
        <f>IF(B53="","",IF(K53="Transfer",C53,IFERROR(LOOKUP(2,1/($B$2:B52=B53),$M$2:M52),VLOOKUP(B53,Baseline!$A$2:$H$10,5,FALSE))))</f>
        <v/>
      </c>
      <c r="N53" s="6" t="str">
        <f>IF(B53="","",IF(K53="Transfer",0,IFERROR(LOOKUP(2,1/($B$2:B52=B53),$N$2:N52),VLOOKUP(B53,Baseline!$A$2:$H$10,6,FALSE))+IF(K53="Defence",1,0)))</f>
        <v/>
      </c>
      <c r="O53" s="6" t="str">
        <f>IF(B53="","",IFERROR(LOOKUP(2,1/($B$2:B52=B53),$O$2:O52),VLOOKUP(B53,Baseline!$A$2:$H$10,7,FALSE))+IF(K53="Transfer",1,0))</f>
        <v/>
      </c>
      <c r="P53" s="6" t="str">
        <f>IF(B53="","",IFERROR(LOOKUP(2,1/($B$2:B52=B53),$P$2:P52),VLOOKUP(B53,Baseline!$A$2:$H$10,8,FALSE))+IF(K53="Defence",1,0))</f>
        <v/>
      </c>
      <c r="Q53" s="5"/>
      <c r="R53" s="12"/>
    </row>
    <row r="54" spans="1:18">
      <c r="A54" s="6" t="str">
        <f>IF(OR(B54="",C54=""),"",VLOOKUP(B54,Lists!$A$2:$B$10,2,FALSE)&amp;"-"&amp;TEXT(C54,"yyyymmdd")&amp;"-"&amp;TEXT(COUNTIFS($B$2:B54,B54,$C$2:C54,C54),"00"))</f>
        <v/>
      </c>
      <c r="B54" s="5"/>
      <c r="C54" s="7"/>
      <c r="D54" s="5"/>
      <c r="E54" s="5"/>
      <c r="F54" s="5"/>
      <c r="G54" s="5"/>
      <c r="H54" s="10"/>
      <c r="I54" s="5"/>
      <c r="J54" s="6" t="str">
        <f>IF(B54="","",IFERROR(LOOKUP(2,1/($B$2:B53=B54),$L$2:L53),VLOOKUP(B54,Baseline!$A$2:$H$10,4,FALSE)))</f>
        <v/>
      </c>
      <c r="K54" s="6" t="str">
        <f t="shared" si="2"/>
        <v/>
      </c>
      <c r="L54" s="6" t="str">
        <f t="shared" si="3"/>
        <v/>
      </c>
      <c r="M54" s="8" t="str">
        <f>IF(B54="","",IF(K54="Transfer",C54,IFERROR(LOOKUP(2,1/($B$2:B53=B54),$M$2:M53),VLOOKUP(B54,Baseline!$A$2:$H$10,5,FALSE))))</f>
        <v/>
      </c>
      <c r="N54" s="6" t="str">
        <f>IF(B54="","",IF(K54="Transfer",0,IFERROR(LOOKUP(2,1/($B$2:B53=B54),$N$2:N53),VLOOKUP(B54,Baseline!$A$2:$H$10,6,FALSE))+IF(K54="Defence",1,0)))</f>
        <v/>
      </c>
      <c r="O54" s="6" t="str">
        <f>IF(B54="","",IFERROR(LOOKUP(2,1/($B$2:B53=B54),$O$2:O53),VLOOKUP(B54,Baseline!$A$2:$H$10,7,FALSE))+IF(K54="Transfer",1,0))</f>
        <v/>
      </c>
      <c r="P54" s="6" t="str">
        <f>IF(B54="","",IFERROR(LOOKUP(2,1/($B$2:B53=B54),$P$2:P53),VLOOKUP(B54,Baseline!$A$2:$H$10,8,FALSE))+IF(K54="Defence",1,0))</f>
        <v/>
      </c>
      <c r="Q54" s="5"/>
      <c r="R54" s="12"/>
    </row>
    <row r="55" spans="1:18">
      <c r="A55" s="6" t="str">
        <f>IF(OR(B55="",C55=""),"",VLOOKUP(B55,Lists!$A$2:$B$10,2,FALSE)&amp;"-"&amp;TEXT(C55,"yyyymmdd")&amp;"-"&amp;TEXT(COUNTIFS($B$2:B55,B55,$C$2:C55,C55),"00"))</f>
        <v/>
      </c>
      <c r="B55" s="5"/>
      <c r="C55" s="7"/>
      <c r="D55" s="5"/>
      <c r="E55" s="5"/>
      <c r="F55" s="5"/>
      <c r="G55" s="5"/>
      <c r="H55" s="10"/>
      <c r="I55" s="5"/>
      <c r="J55" s="6" t="str">
        <f>IF(B55="","",IFERROR(LOOKUP(2,1/($B$2:B54=B55),$L$2:L54),VLOOKUP(B55,Baseline!$A$2:$H$10,4,FALSE)))</f>
        <v/>
      </c>
      <c r="K55" s="6" t="str">
        <f t="shared" si="2"/>
        <v/>
      </c>
      <c r="L55" s="6" t="str">
        <f t="shared" si="3"/>
        <v/>
      </c>
      <c r="M55" s="8" t="str">
        <f>IF(B55="","",IF(K55="Transfer",C55,IFERROR(LOOKUP(2,1/($B$2:B54=B55),$M$2:M54),VLOOKUP(B55,Baseline!$A$2:$H$10,5,FALSE))))</f>
        <v/>
      </c>
      <c r="N55" s="6" t="str">
        <f>IF(B55="","",IF(K55="Transfer",0,IFERROR(LOOKUP(2,1/($B$2:B54=B55),$N$2:N54),VLOOKUP(B55,Baseline!$A$2:$H$10,6,FALSE))+IF(K55="Defence",1,0)))</f>
        <v/>
      </c>
      <c r="O55" s="6" t="str">
        <f>IF(B55="","",IFERROR(LOOKUP(2,1/($B$2:B54=B55),$O$2:O54),VLOOKUP(B55,Baseline!$A$2:$H$10,7,FALSE))+IF(K55="Transfer",1,0))</f>
        <v/>
      </c>
      <c r="P55" s="6" t="str">
        <f>IF(B55="","",IFERROR(LOOKUP(2,1/($B$2:B54=B55),$P$2:P54),VLOOKUP(B55,Baseline!$A$2:$H$10,8,FALSE))+IF(K55="Defence",1,0))</f>
        <v/>
      </c>
      <c r="Q55" s="5"/>
      <c r="R55" s="12"/>
    </row>
    <row r="56" spans="1:18">
      <c r="A56" s="6" t="str">
        <f>IF(OR(B56="",C56=""),"",VLOOKUP(B56,Lists!$A$2:$B$10,2,FALSE)&amp;"-"&amp;TEXT(C56,"yyyymmdd")&amp;"-"&amp;TEXT(COUNTIFS($B$2:B56,B56,$C$2:C56,C56),"00"))</f>
        <v/>
      </c>
      <c r="B56" s="5"/>
      <c r="C56" s="7"/>
      <c r="D56" s="5"/>
      <c r="E56" s="5"/>
      <c r="F56" s="5"/>
      <c r="G56" s="5"/>
      <c r="H56" s="10"/>
      <c r="I56" s="5"/>
      <c r="J56" s="6" t="str">
        <f>IF(B56="","",IFERROR(LOOKUP(2,1/($B$2:B55=B56),$L$2:L55),VLOOKUP(B56,Baseline!$A$2:$H$10,4,FALSE)))</f>
        <v/>
      </c>
      <c r="K56" s="6" t="str">
        <f t="shared" si="2"/>
        <v/>
      </c>
      <c r="L56" s="6" t="str">
        <f t="shared" si="3"/>
        <v/>
      </c>
      <c r="M56" s="8" t="str">
        <f>IF(B56="","",IF(K56="Transfer",C56,IFERROR(LOOKUP(2,1/($B$2:B55=B56),$M$2:M55),VLOOKUP(B56,Baseline!$A$2:$H$10,5,FALSE))))</f>
        <v/>
      </c>
      <c r="N56" s="6" t="str">
        <f>IF(B56="","",IF(K56="Transfer",0,IFERROR(LOOKUP(2,1/($B$2:B55=B56),$N$2:N55),VLOOKUP(B56,Baseline!$A$2:$H$10,6,FALSE))+IF(K56="Defence",1,0)))</f>
        <v/>
      </c>
      <c r="O56" s="6" t="str">
        <f>IF(B56="","",IFERROR(LOOKUP(2,1/($B$2:B55=B56),$O$2:O55),VLOOKUP(B56,Baseline!$A$2:$H$10,7,FALSE))+IF(K56="Transfer",1,0))</f>
        <v/>
      </c>
      <c r="P56" s="6" t="str">
        <f>IF(B56="","",IFERROR(LOOKUP(2,1/($B$2:B55=B56),$P$2:P55),VLOOKUP(B56,Baseline!$A$2:$H$10,8,FALSE))+IF(K56="Defence",1,0))</f>
        <v/>
      </c>
      <c r="Q56" s="5"/>
      <c r="R56" s="12"/>
    </row>
    <row r="57" spans="1:18">
      <c r="A57" s="6" t="str">
        <f>IF(OR(B57="",C57=""),"",VLOOKUP(B57,Lists!$A$2:$B$10,2,FALSE)&amp;"-"&amp;TEXT(C57,"yyyymmdd")&amp;"-"&amp;TEXT(COUNTIFS($B$2:B57,B57,$C$2:C57,C57),"00"))</f>
        <v/>
      </c>
      <c r="B57" s="5"/>
      <c r="C57" s="7"/>
      <c r="D57" s="5"/>
      <c r="E57" s="5"/>
      <c r="F57" s="5"/>
      <c r="G57" s="5"/>
      <c r="H57" s="10"/>
      <c r="I57" s="5"/>
      <c r="J57" s="6" t="str">
        <f>IF(B57="","",IFERROR(LOOKUP(2,1/($B$2:B56=B57),$L$2:L56),VLOOKUP(B57,Baseline!$A$2:$H$10,4,FALSE)))</f>
        <v/>
      </c>
      <c r="K57" s="6" t="str">
        <f t="shared" si="2"/>
        <v/>
      </c>
      <c r="L57" s="6" t="str">
        <f t="shared" si="3"/>
        <v/>
      </c>
      <c r="M57" s="8" t="str">
        <f>IF(B57="","",IF(K57="Transfer",C57,IFERROR(LOOKUP(2,1/($B$2:B56=B57),$M$2:M56),VLOOKUP(B57,Baseline!$A$2:$H$10,5,FALSE))))</f>
        <v/>
      </c>
      <c r="N57" s="6" t="str">
        <f>IF(B57="","",IF(K57="Transfer",0,IFERROR(LOOKUP(2,1/($B$2:B56=B57),$N$2:N56),VLOOKUP(B57,Baseline!$A$2:$H$10,6,FALSE))+IF(K57="Defence",1,0)))</f>
        <v/>
      </c>
      <c r="O57" s="6" t="str">
        <f>IF(B57="","",IFERROR(LOOKUP(2,1/($B$2:B56=B57),$O$2:O56),VLOOKUP(B57,Baseline!$A$2:$H$10,7,FALSE))+IF(K57="Transfer",1,0))</f>
        <v/>
      </c>
      <c r="P57" s="6" t="str">
        <f>IF(B57="","",IFERROR(LOOKUP(2,1/($B$2:B56=B57),$P$2:P56),VLOOKUP(B57,Baseline!$A$2:$H$10,8,FALSE))+IF(K57="Defence",1,0))</f>
        <v/>
      </c>
      <c r="Q57" s="5"/>
      <c r="R57" s="12"/>
    </row>
    <row r="58" spans="1:18">
      <c r="A58" s="6" t="str">
        <f>IF(OR(B58="",C58=""),"",VLOOKUP(B58,Lists!$A$2:$B$10,2,FALSE)&amp;"-"&amp;TEXT(C58,"yyyymmdd")&amp;"-"&amp;TEXT(COUNTIFS($B$2:B58,B58,$C$2:C58,C58),"00"))</f>
        <v/>
      </c>
      <c r="B58" s="5"/>
      <c r="C58" s="7"/>
      <c r="D58" s="5"/>
      <c r="E58" s="5"/>
      <c r="F58" s="5"/>
      <c r="G58" s="5"/>
      <c r="H58" s="10"/>
      <c r="I58" s="5"/>
      <c r="J58" s="6" t="str">
        <f>IF(B58="","",IFERROR(LOOKUP(2,1/($B$2:B57=B58),$L$2:L57),VLOOKUP(B58,Baseline!$A$2:$H$10,4,FALSE)))</f>
        <v/>
      </c>
      <c r="K58" s="6" t="str">
        <f t="shared" si="2"/>
        <v/>
      </c>
      <c r="L58" s="6" t="str">
        <f t="shared" si="3"/>
        <v/>
      </c>
      <c r="M58" s="8" t="str">
        <f>IF(B58="","",IF(K58="Transfer",C58,IFERROR(LOOKUP(2,1/($B$2:B57=B58),$M$2:M57),VLOOKUP(B58,Baseline!$A$2:$H$10,5,FALSE))))</f>
        <v/>
      </c>
      <c r="N58" s="6" t="str">
        <f>IF(B58="","",IF(K58="Transfer",0,IFERROR(LOOKUP(2,1/($B$2:B57=B58),$N$2:N57),VLOOKUP(B58,Baseline!$A$2:$H$10,6,FALSE))+IF(K58="Defence",1,0)))</f>
        <v/>
      </c>
      <c r="O58" s="6" t="str">
        <f>IF(B58="","",IFERROR(LOOKUP(2,1/($B$2:B57=B58),$O$2:O57),VLOOKUP(B58,Baseline!$A$2:$H$10,7,FALSE))+IF(K58="Transfer",1,0))</f>
        <v/>
      </c>
      <c r="P58" s="6" t="str">
        <f>IF(B58="","",IFERROR(LOOKUP(2,1/($B$2:B57=B58),$P$2:P57),VLOOKUP(B58,Baseline!$A$2:$H$10,8,FALSE))+IF(K58="Defence",1,0))</f>
        <v/>
      </c>
      <c r="Q58" s="5"/>
      <c r="R58" s="12"/>
    </row>
    <row r="59" spans="1:18">
      <c r="A59" s="6" t="str">
        <f>IF(OR(B59="",C59=""),"",VLOOKUP(B59,Lists!$A$2:$B$10,2,FALSE)&amp;"-"&amp;TEXT(C59,"yyyymmdd")&amp;"-"&amp;TEXT(COUNTIFS($B$2:B59,B59,$C$2:C59,C59),"00"))</f>
        <v/>
      </c>
      <c r="B59" s="5"/>
      <c r="C59" s="7"/>
      <c r="D59" s="5"/>
      <c r="E59" s="5"/>
      <c r="F59" s="5"/>
      <c r="G59" s="5"/>
      <c r="H59" s="10"/>
      <c r="I59" s="5"/>
      <c r="J59" s="6" t="str">
        <f>IF(B59="","",IFERROR(LOOKUP(2,1/($B$2:B58=B59),$L$2:L58),VLOOKUP(B59,Baseline!$A$2:$H$10,4,FALSE)))</f>
        <v/>
      </c>
      <c r="K59" s="6" t="str">
        <f t="shared" si="2"/>
        <v/>
      </c>
      <c r="L59" s="6" t="str">
        <f t="shared" si="3"/>
        <v/>
      </c>
      <c r="M59" s="8" t="str">
        <f>IF(B59="","",IF(K59="Transfer",C59,IFERROR(LOOKUP(2,1/($B$2:B58=B59),$M$2:M58),VLOOKUP(B59,Baseline!$A$2:$H$10,5,FALSE))))</f>
        <v/>
      </c>
      <c r="N59" s="6" t="str">
        <f>IF(B59="","",IF(K59="Transfer",0,IFERROR(LOOKUP(2,1/($B$2:B58=B59),$N$2:N58),VLOOKUP(B59,Baseline!$A$2:$H$10,6,FALSE))+IF(K59="Defence",1,0)))</f>
        <v/>
      </c>
      <c r="O59" s="6" t="str">
        <f>IF(B59="","",IFERROR(LOOKUP(2,1/($B$2:B58=B59),$O$2:O58),VLOOKUP(B59,Baseline!$A$2:$H$10,7,FALSE))+IF(K59="Transfer",1,0))</f>
        <v/>
      </c>
      <c r="P59" s="6" t="str">
        <f>IF(B59="","",IFERROR(LOOKUP(2,1/($B$2:B58=B59),$P$2:P58),VLOOKUP(B59,Baseline!$A$2:$H$10,8,FALSE))+IF(K59="Defence",1,0))</f>
        <v/>
      </c>
      <c r="Q59" s="5"/>
      <c r="R59" s="12"/>
    </row>
    <row r="60" spans="1:18">
      <c r="A60" s="6" t="str">
        <f>IF(OR(B60="",C60=""),"",VLOOKUP(B60,Lists!$A$2:$B$10,2,FALSE)&amp;"-"&amp;TEXT(C60,"yyyymmdd")&amp;"-"&amp;TEXT(COUNTIFS($B$2:B60,B60,$C$2:C60,C60),"00"))</f>
        <v/>
      </c>
      <c r="B60" s="5"/>
      <c r="C60" s="7"/>
      <c r="D60" s="5"/>
      <c r="E60" s="5"/>
      <c r="F60" s="5"/>
      <c r="G60" s="5"/>
      <c r="H60" s="10"/>
      <c r="I60" s="5"/>
      <c r="J60" s="6" t="str">
        <f>IF(B60="","",IFERROR(LOOKUP(2,1/($B$2:B59=B60),$L$2:L59),VLOOKUP(B60,Baseline!$A$2:$H$10,4,FALSE)))</f>
        <v/>
      </c>
      <c r="K60" s="6" t="str">
        <f t="shared" si="2"/>
        <v/>
      </c>
      <c r="L60" s="6" t="str">
        <f t="shared" si="3"/>
        <v/>
      </c>
      <c r="M60" s="8" t="str">
        <f>IF(B60="","",IF(K60="Transfer",C60,IFERROR(LOOKUP(2,1/($B$2:B59=B60),$M$2:M59),VLOOKUP(B60,Baseline!$A$2:$H$10,5,FALSE))))</f>
        <v/>
      </c>
      <c r="N60" s="6" t="str">
        <f>IF(B60="","",IF(K60="Transfer",0,IFERROR(LOOKUP(2,1/($B$2:B59=B60),$N$2:N59),VLOOKUP(B60,Baseline!$A$2:$H$10,6,FALSE))+IF(K60="Defence",1,0)))</f>
        <v/>
      </c>
      <c r="O60" s="6" t="str">
        <f>IF(B60="","",IFERROR(LOOKUP(2,1/($B$2:B59=B60),$O$2:O59),VLOOKUP(B60,Baseline!$A$2:$H$10,7,FALSE))+IF(K60="Transfer",1,0))</f>
        <v/>
      </c>
      <c r="P60" s="6" t="str">
        <f>IF(B60="","",IFERROR(LOOKUP(2,1/($B$2:B59=B60),$P$2:P59),VLOOKUP(B60,Baseline!$A$2:$H$10,8,FALSE))+IF(K60="Defence",1,0))</f>
        <v/>
      </c>
      <c r="Q60" s="5"/>
      <c r="R60" s="12"/>
    </row>
    <row r="61" spans="1:18">
      <c r="A61" s="6" t="str">
        <f>IF(OR(B61="",C61=""),"",VLOOKUP(B61,Lists!$A$2:$B$10,2,FALSE)&amp;"-"&amp;TEXT(C61,"yyyymmdd")&amp;"-"&amp;TEXT(COUNTIFS($B$2:B61,B61,$C$2:C61,C61),"00"))</f>
        <v/>
      </c>
      <c r="B61" s="5"/>
      <c r="C61" s="7"/>
      <c r="D61" s="5"/>
      <c r="E61" s="5"/>
      <c r="F61" s="5"/>
      <c r="G61" s="5"/>
      <c r="H61" s="10"/>
      <c r="I61" s="5"/>
      <c r="J61" s="6" t="str">
        <f>IF(B61="","",IFERROR(LOOKUP(2,1/($B$2:B60=B61),$L$2:L60),VLOOKUP(B61,Baseline!$A$2:$H$10,4,FALSE)))</f>
        <v/>
      </c>
      <c r="K61" s="6" t="str">
        <f t="shared" si="2"/>
        <v/>
      </c>
      <c r="L61" s="6" t="str">
        <f t="shared" si="3"/>
        <v/>
      </c>
      <c r="M61" s="8" t="str">
        <f>IF(B61="","",IF(K61="Transfer",C61,IFERROR(LOOKUP(2,1/($B$2:B60=B61),$M$2:M60),VLOOKUP(B61,Baseline!$A$2:$H$10,5,FALSE))))</f>
        <v/>
      </c>
      <c r="N61" s="6" t="str">
        <f>IF(B61="","",IF(K61="Transfer",0,IFERROR(LOOKUP(2,1/($B$2:B60=B61),$N$2:N60),VLOOKUP(B61,Baseline!$A$2:$H$10,6,FALSE))+IF(K61="Defence",1,0)))</f>
        <v/>
      </c>
      <c r="O61" s="6" t="str">
        <f>IF(B61="","",IFERROR(LOOKUP(2,1/($B$2:B60=B61),$O$2:O60),VLOOKUP(B61,Baseline!$A$2:$H$10,7,FALSE))+IF(K61="Transfer",1,0))</f>
        <v/>
      </c>
      <c r="P61" s="6" t="str">
        <f>IF(B61="","",IFERROR(LOOKUP(2,1/($B$2:B60=B61),$P$2:P60),VLOOKUP(B61,Baseline!$A$2:$H$10,8,FALSE))+IF(K61="Defence",1,0))</f>
        <v/>
      </c>
      <c r="Q61" s="5"/>
      <c r="R61" s="12"/>
    </row>
    <row r="62" spans="1:18">
      <c r="A62" s="6" t="str">
        <f>IF(OR(B62="",C62=""),"",VLOOKUP(B62,Lists!$A$2:$B$10,2,FALSE)&amp;"-"&amp;TEXT(C62,"yyyymmdd")&amp;"-"&amp;TEXT(COUNTIFS($B$2:B62,B62,$C$2:C62,C62),"00"))</f>
        <v/>
      </c>
      <c r="B62" s="5"/>
      <c r="C62" s="7"/>
      <c r="D62" s="5"/>
      <c r="E62" s="5"/>
      <c r="F62" s="5"/>
      <c r="G62" s="5"/>
      <c r="H62" s="10"/>
      <c r="I62" s="5"/>
      <c r="J62" s="6" t="str">
        <f>IF(B62="","",IFERROR(LOOKUP(2,1/($B$2:B61=B62),$L$2:L61),VLOOKUP(B62,Baseline!$A$2:$H$10,4,FALSE)))</f>
        <v/>
      </c>
      <c r="K62" s="6" t="str">
        <f t="shared" si="2"/>
        <v/>
      </c>
      <c r="L62" s="6" t="str">
        <f t="shared" si="3"/>
        <v/>
      </c>
      <c r="M62" s="8" t="str">
        <f>IF(B62="","",IF(K62="Transfer",C62,IFERROR(LOOKUP(2,1/($B$2:B61=B62),$M$2:M61),VLOOKUP(B62,Baseline!$A$2:$H$10,5,FALSE))))</f>
        <v/>
      </c>
      <c r="N62" s="6" t="str">
        <f>IF(B62="","",IF(K62="Transfer",0,IFERROR(LOOKUP(2,1/($B$2:B61=B62),$N$2:N61),VLOOKUP(B62,Baseline!$A$2:$H$10,6,FALSE))+IF(K62="Defence",1,0)))</f>
        <v/>
      </c>
      <c r="O62" s="6" t="str">
        <f>IF(B62="","",IFERROR(LOOKUP(2,1/($B$2:B61=B62),$O$2:O61),VLOOKUP(B62,Baseline!$A$2:$H$10,7,FALSE))+IF(K62="Transfer",1,0))</f>
        <v/>
      </c>
      <c r="P62" s="6" t="str">
        <f>IF(B62="","",IFERROR(LOOKUP(2,1/($B$2:B61=B62),$P$2:P61),VLOOKUP(B62,Baseline!$A$2:$H$10,8,FALSE))+IF(K62="Defence",1,0))</f>
        <v/>
      </c>
      <c r="Q62" s="5"/>
      <c r="R62" s="12"/>
    </row>
    <row r="63" spans="1:18">
      <c r="A63" s="6" t="str">
        <f>IF(OR(B63="",C63=""),"",VLOOKUP(B63,Lists!$A$2:$B$10,2,FALSE)&amp;"-"&amp;TEXT(C63,"yyyymmdd")&amp;"-"&amp;TEXT(COUNTIFS($B$2:B63,B63,$C$2:C63,C63),"00"))</f>
        <v/>
      </c>
      <c r="B63" s="5"/>
      <c r="C63" s="7"/>
      <c r="D63" s="5"/>
      <c r="E63" s="5"/>
      <c r="F63" s="5"/>
      <c r="G63" s="5"/>
      <c r="H63" s="10"/>
      <c r="I63" s="5"/>
      <c r="J63" s="6" t="str">
        <f>IF(B63="","",IFERROR(LOOKUP(2,1/($B$2:B62=B63),$L$2:L62),VLOOKUP(B63,Baseline!$A$2:$H$10,4,FALSE)))</f>
        <v/>
      </c>
      <c r="K63" s="6" t="str">
        <f t="shared" si="2"/>
        <v/>
      </c>
      <c r="L63" s="6" t="str">
        <f t="shared" si="3"/>
        <v/>
      </c>
      <c r="M63" s="8" t="str">
        <f>IF(B63="","",IF(K63="Transfer",C63,IFERROR(LOOKUP(2,1/($B$2:B62=B63),$M$2:M62),VLOOKUP(B63,Baseline!$A$2:$H$10,5,FALSE))))</f>
        <v/>
      </c>
      <c r="N63" s="6" t="str">
        <f>IF(B63="","",IF(K63="Transfer",0,IFERROR(LOOKUP(2,1/($B$2:B62=B63),$N$2:N62),VLOOKUP(B63,Baseline!$A$2:$H$10,6,FALSE))+IF(K63="Defence",1,0)))</f>
        <v/>
      </c>
      <c r="O63" s="6" t="str">
        <f>IF(B63="","",IFERROR(LOOKUP(2,1/($B$2:B62=B63),$O$2:O62),VLOOKUP(B63,Baseline!$A$2:$H$10,7,FALSE))+IF(K63="Transfer",1,0))</f>
        <v/>
      </c>
      <c r="P63" s="6" t="str">
        <f>IF(B63="","",IFERROR(LOOKUP(2,1/($B$2:B62=B63),$P$2:P62),VLOOKUP(B63,Baseline!$A$2:$H$10,8,FALSE))+IF(K63="Defence",1,0))</f>
        <v/>
      </c>
      <c r="Q63" s="5"/>
      <c r="R63" s="12"/>
    </row>
    <row r="64" spans="1:18">
      <c r="A64" s="6" t="str">
        <f>IF(OR(B64="",C64=""),"",VLOOKUP(B64,Lists!$A$2:$B$10,2,FALSE)&amp;"-"&amp;TEXT(C64,"yyyymmdd")&amp;"-"&amp;TEXT(COUNTIFS($B$2:B64,B64,$C$2:C64,C64),"00"))</f>
        <v/>
      </c>
      <c r="B64" s="5"/>
      <c r="C64" s="7"/>
      <c r="D64" s="5"/>
      <c r="E64" s="5"/>
      <c r="F64" s="5"/>
      <c r="G64" s="5"/>
      <c r="H64" s="10"/>
      <c r="I64" s="5"/>
      <c r="J64" s="6" t="str">
        <f>IF(B64="","",IFERROR(LOOKUP(2,1/($B$2:B63=B64),$L$2:L63),VLOOKUP(B64,Baseline!$A$2:$H$10,4,FALSE)))</f>
        <v/>
      </c>
      <c r="K64" s="6" t="str">
        <f t="shared" si="2"/>
        <v/>
      </c>
      <c r="L64" s="6" t="str">
        <f t="shared" si="3"/>
        <v/>
      </c>
      <c r="M64" s="8" t="str">
        <f>IF(B64="","",IF(K64="Transfer",C64,IFERROR(LOOKUP(2,1/($B$2:B63=B64),$M$2:M63),VLOOKUP(B64,Baseline!$A$2:$H$10,5,FALSE))))</f>
        <v/>
      </c>
      <c r="N64" s="6" t="str">
        <f>IF(B64="","",IF(K64="Transfer",0,IFERROR(LOOKUP(2,1/($B$2:B63=B64),$N$2:N63),VLOOKUP(B64,Baseline!$A$2:$H$10,6,FALSE))+IF(K64="Defence",1,0)))</f>
        <v/>
      </c>
      <c r="O64" s="6" t="str">
        <f>IF(B64="","",IFERROR(LOOKUP(2,1/($B$2:B63=B64),$O$2:O63),VLOOKUP(B64,Baseline!$A$2:$H$10,7,FALSE))+IF(K64="Transfer",1,0))</f>
        <v/>
      </c>
      <c r="P64" s="6" t="str">
        <f>IF(B64="","",IFERROR(LOOKUP(2,1/($B$2:B63=B64),$P$2:P63),VLOOKUP(B64,Baseline!$A$2:$H$10,8,FALSE))+IF(K64="Defence",1,0))</f>
        <v/>
      </c>
      <c r="Q64" s="5"/>
      <c r="R64" s="12"/>
    </row>
    <row r="65" spans="1:18">
      <c r="A65" s="6" t="str">
        <f>IF(OR(B65="",C65=""),"",VLOOKUP(B65,Lists!$A$2:$B$10,2,FALSE)&amp;"-"&amp;TEXT(C65,"yyyymmdd")&amp;"-"&amp;TEXT(COUNTIFS($B$2:B65,B65,$C$2:C65,C65),"00"))</f>
        <v/>
      </c>
      <c r="B65" s="5"/>
      <c r="C65" s="7"/>
      <c r="D65" s="5"/>
      <c r="E65" s="5"/>
      <c r="F65" s="5"/>
      <c r="G65" s="5"/>
      <c r="H65" s="10"/>
      <c r="I65" s="5"/>
      <c r="J65" s="6" t="str">
        <f>IF(B65="","",IFERROR(LOOKUP(2,1/($B$2:B64=B65),$L$2:L64),VLOOKUP(B65,Baseline!$A$2:$H$10,4,FALSE)))</f>
        <v/>
      </c>
      <c r="K65" s="6" t="str">
        <f t="shared" si="2"/>
        <v/>
      </c>
      <c r="L65" s="6" t="str">
        <f t="shared" si="3"/>
        <v/>
      </c>
      <c r="M65" s="8" t="str">
        <f>IF(B65="","",IF(K65="Transfer",C65,IFERROR(LOOKUP(2,1/($B$2:B64=B65),$M$2:M64),VLOOKUP(B65,Baseline!$A$2:$H$10,5,FALSE))))</f>
        <v/>
      </c>
      <c r="N65" s="6" t="str">
        <f>IF(B65="","",IF(K65="Transfer",0,IFERROR(LOOKUP(2,1/($B$2:B64=B65),$N$2:N64),VLOOKUP(B65,Baseline!$A$2:$H$10,6,FALSE))+IF(K65="Defence",1,0)))</f>
        <v/>
      </c>
      <c r="O65" s="6" t="str">
        <f>IF(B65="","",IFERROR(LOOKUP(2,1/($B$2:B64=B65),$O$2:O64),VLOOKUP(B65,Baseline!$A$2:$H$10,7,FALSE))+IF(K65="Transfer",1,0))</f>
        <v/>
      </c>
      <c r="P65" s="6" t="str">
        <f>IF(B65="","",IFERROR(LOOKUP(2,1/($B$2:B64=B65),$P$2:P64),VLOOKUP(B65,Baseline!$A$2:$H$10,8,FALSE))+IF(K65="Defence",1,0))</f>
        <v/>
      </c>
      <c r="Q65" s="5"/>
      <c r="R65" s="12"/>
    </row>
    <row r="66" spans="1:18">
      <c r="A66" s="6" t="str">
        <f>IF(OR(B66="",C66=""),"",VLOOKUP(B66,Lists!$A$2:$B$10,2,FALSE)&amp;"-"&amp;TEXT(C66,"yyyymmdd")&amp;"-"&amp;TEXT(COUNTIFS($B$2:B66,B66,$C$2:C66,C66),"00"))</f>
        <v/>
      </c>
      <c r="B66" s="5"/>
      <c r="C66" s="7"/>
      <c r="D66" s="5"/>
      <c r="E66" s="5"/>
      <c r="F66" s="5"/>
      <c r="G66" s="5"/>
      <c r="H66" s="10"/>
      <c r="I66" s="5"/>
      <c r="J66" s="6" t="str">
        <f>IF(B66="","",IFERROR(LOOKUP(2,1/($B$2:B65=B66),$L$2:L65),VLOOKUP(B66,Baseline!$A$2:$H$10,4,FALSE)))</f>
        <v/>
      </c>
      <c r="K66" s="6" t="str">
        <f t="shared" ref="K66:K100" si="4">IF(B66="","",IF(F66&lt;&gt;"Completed",F66,IF(G66="Challenger win","Transfer",IF(OR(G66="Holder win",G66="Draw / tie"),"Defence",IF(G66="No result","No result","REVIEW")))))</f>
        <v/>
      </c>
      <c r="L66" s="6" t="str">
        <f t="shared" ref="L66:L97" si="5">IF(B66="","",IF(K66="Transfer",D66,J66))</f>
        <v/>
      </c>
      <c r="M66" s="8" t="str">
        <f>IF(B66="","",IF(K66="Transfer",C66,IFERROR(LOOKUP(2,1/($B$2:B65=B66),$M$2:M65),VLOOKUP(B66,Baseline!$A$2:$H$10,5,FALSE))))</f>
        <v/>
      </c>
      <c r="N66" s="6" t="str">
        <f>IF(B66="","",IF(K66="Transfer",0,IFERROR(LOOKUP(2,1/($B$2:B65=B66),$N$2:N65),VLOOKUP(B66,Baseline!$A$2:$H$10,6,FALSE))+IF(K66="Defence",1,0)))</f>
        <v/>
      </c>
      <c r="O66" s="6" t="str">
        <f>IF(B66="","",IFERROR(LOOKUP(2,1/($B$2:B65=B66),$O$2:O65),VLOOKUP(B66,Baseline!$A$2:$H$10,7,FALSE))+IF(K66="Transfer",1,0))</f>
        <v/>
      </c>
      <c r="P66" s="6" t="str">
        <f>IF(B66="","",IFERROR(LOOKUP(2,1/($B$2:B65=B66),$P$2:P65),VLOOKUP(B66,Baseline!$A$2:$H$10,8,FALSE))+IF(K66="Defence",1,0))</f>
        <v/>
      </c>
      <c r="Q66" s="5"/>
      <c r="R66" s="12"/>
    </row>
    <row r="67" spans="1:18">
      <c r="A67" s="6" t="str">
        <f>IF(OR(B67="",C67=""),"",VLOOKUP(B67,Lists!$A$2:$B$10,2,FALSE)&amp;"-"&amp;TEXT(C67,"yyyymmdd")&amp;"-"&amp;TEXT(COUNTIFS($B$2:B67,B67,$C$2:C67,C67),"00"))</f>
        <v/>
      </c>
      <c r="B67" s="5"/>
      <c r="C67" s="7"/>
      <c r="D67" s="5"/>
      <c r="E67" s="5"/>
      <c r="F67" s="5"/>
      <c r="G67" s="5"/>
      <c r="H67" s="10"/>
      <c r="I67" s="5"/>
      <c r="J67" s="6" t="str">
        <f>IF(B67="","",IFERROR(LOOKUP(2,1/($B$2:B66=B67),$L$2:L66),VLOOKUP(B67,Baseline!$A$2:$H$10,4,FALSE)))</f>
        <v/>
      </c>
      <c r="K67" s="6" t="str">
        <f t="shared" si="4"/>
        <v/>
      </c>
      <c r="L67" s="6" t="str">
        <f t="shared" si="5"/>
        <v/>
      </c>
      <c r="M67" s="8" t="str">
        <f>IF(B67="","",IF(K67="Transfer",C67,IFERROR(LOOKUP(2,1/($B$2:B66=B67),$M$2:M66),VLOOKUP(B67,Baseline!$A$2:$H$10,5,FALSE))))</f>
        <v/>
      </c>
      <c r="N67" s="6" t="str">
        <f>IF(B67="","",IF(K67="Transfer",0,IFERROR(LOOKUP(2,1/($B$2:B66=B67),$N$2:N66),VLOOKUP(B67,Baseline!$A$2:$H$10,6,FALSE))+IF(K67="Defence",1,0)))</f>
        <v/>
      </c>
      <c r="O67" s="6" t="str">
        <f>IF(B67="","",IFERROR(LOOKUP(2,1/($B$2:B66=B67),$O$2:O66),VLOOKUP(B67,Baseline!$A$2:$H$10,7,FALSE))+IF(K67="Transfer",1,0))</f>
        <v/>
      </c>
      <c r="P67" s="6" t="str">
        <f>IF(B67="","",IFERROR(LOOKUP(2,1/($B$2:B66=B67),$P$2:P66),VLOOKUP(B67,Baseline!$A$2:$H$10,8,FALSE))+IF(K67="Defence",1,0))</f>
        <v/>
      </c>
      <c r="Q67" s="5"/>
      <c r="R67" s="12"/>
    </row>
    <row r="68" spans="1:18">
      <c r="A68" s="6" t="str">
        <f>IF(OR(B68="",C68=""),"",VLOOKUP(B68,Lists!$A$2:$B$10,2,FALSE)&amp;"-"&amp;TEXT(C68,"yyyymmdd")&amp;"-"&amp;TEXT(COUNTIFS($B$2:B68,B68,$C$2:C68,C68),"00"))</f>
        <v/>
      </c>
      <c r="B68" s="5"/>
      <c r="C68" s="7"/>
      <c r="D68" s="5"/>
      <c r="E68" s="5"/>
      <c r="F68" s="5"/>
      <c r="G68" s="5"/>
      <c r="H68" s="10"/>
      <c r="I68" s="5"/>
      <c r="J68" s="6" t="str">
        <f>IF(B68="","",IFERROR(LOOKUP(2,1/($B$2:B67=B68),$L$2:L67),VLOOKUP(B68,Baseline!$A$2:$H$10,4,FALSE)))</f>
        <v/>
      </c>
      <c r="K68" s="6" t="str">
        <f t="shared" si="4"/>
        <v/>
      </c>
      <c r="L68" s="6" t="str">
        <f t="shared" si="5"/>
        <v/>
      </c>
      <c r="M68" s="8" t="str">
        <f>IF(B68="","",IF(K68="Transfer",C68,IFERROR(LOOKUP(2,1/($B$2:B67=B68),$M$2:M67),VLOOKUP(B68,Baseline!$A$2:$H$10,5,FALSE))))</f>
        <v/>
      </c>
      <c r="N68" s="6" t="str">
        <f>IF(B68="","",IF(K68="Transfer",0,IFERROR(LOOKUP(2,1/($B$2:B67=B68),$N$2:N67),VLOOKUP(B68,Baseline!$A$2:$H$10,6,FALSE))+IF(K68="Defence",1,0)))</f>
        <v/>
      </c>
      <c r="O68" s="6" t="str">
        <f>IF(B68="","",IFERROR(LOOKUP(2,1/($B$2:B67=B68),$O$2:O67),VLOOKUP(B68,Baseline!$A$2:$H$10,7,FALSE))+IF(K68="Transfer",1,0))</f>
        <v/>
      </c>
      <c r="P68" s="6" t="str">
        <f>IF(B68="","",IFERROR(LOOKUP(2,1/($B$2:B67=B68),$P$2:P67),VLOOKUP(B68,Baseline!$A$2:$H$10,8,FALSE))+IF(K68="Defence",1,0))</f>
        <v/>
      </c>
      <c r="Q68" s="5"/>
      <c r="R68" s="12"/>
    </row>
    <row r="69" spans="1:18">
      <c r="A69" s="6" t="str">
        <f>IF(OR(B69="",C69=""),"",VLOOKUP(B69,Lists!$A$2:$B$10,2,FALSE)&amp;"-"&amp;TEXT(C69,"yyyymmdd")&amp;"-"&amp;TEXT(COUNTIFS($B$2:B69,B69,$C$2:C69,C69),"00"))</f>
        <v/>
      </c>
      <c r="B69" s="5"/>
      <c r="C69" s="7"/>
      <c r="D69" s="5"/>
      <c r="E69" s="5"/>
      <c r="F69" s="5"/>
      <c r="G69" s="5"/>
      <c r="H69" s="10"/>
      <c r="I69" s="5"/>
      <c r="J69" s="6" t="str">
        <f>IF(B69="","",IFERROR(LOOKUP(2,1/($B$2:B68=B69),$L$2:L68),VLOOKUP(B69,Baseline!$A$2:$H$10,4,FALSE)))</f>
        <v/>
      </c>
      <c r="K69" s="6" t="str">
        <f t="shared" si="4"/>
        <v/>
      </c>
      <c r="L69" s="6" t="str">
        <f t="shared" si="5"/>
        <v/>
      </c>
      <c r="M69" s="8" t="str">
        <f>IF(B69="","",IF(K69="Transfer",C69,IFERROR(LOOKUP(2,1/($B$2:B68=B69),$M$2:M68),VLOOKUP(B69,Baseline!$A$2:$H$10,5,FALSE))))</f>
        <v/>
      </c>
      <c r="N69" s="6" t="str">
        <f>IF(B69="","",IF(K69="Transfer",0,IFERROR(LOOKUP(2,1/($B$2:B68=B69),$N$2:N68),VLOOKUP(B69,Baseline!$A$2:$H$10,6,FALSE))+IF(K69="Defence",1,0)))</f>
        <v/>
      </c>
      <c r="O69" s="6" t="str">
        <f>IF(B69="","",IFERROR(LOOKUP(2,1/($B$2:B68=B69),$O$2:O68),VLOOKUP(B69,Baseline!$A$2:$H$10,7,FALSE))+IF(K69="Transfer",1,0))</f>
        <v/>
      </c>
      <c r="P69" s="6" t="str">
        <f>IF(B69="","",IFERROR(LOOKUP(2,1/($B$2:B68=B69),$P$2:P68),VLOOKUP(B69,Baseline!$A$2:$H$10,8,FALSE))+IF(K69="Defence",1,0))</f>
        <v/>
      </c>
      <c r="Q69" s="5"/>
      <c r="R69" s="12"/>
    </row>
    <row r="70" spans="1:18">
      <c r="A70" s="6" t="str">
        <f>IF(OR(B70="",C70=""),"",VLOOKUP(B70,Lists!$A$2:$B$10,2,FALSE)&amp;"-"&amp;TEXT(C70,"yyyymmdd")&amp;"-"&amp;TEXT(COUNTIFS($B$2:B70,B70,$C$2:C70,C70),"00"))</f>
        <v/>
      </c>
      <c r="B70" s="5"/>
      <c r="C70" s="7"/>
      <c r="D70" s="5"/>
      <c r="E70" s="5"/>
      <c r="F70" s="5"/>
      <c r="G70" s="5"/>
      <c r="H70" s="10"/>
      <c r="I70" s="5"/>
      <c r="J70" s="6" t="str">
        <f>IF(B70="","",IFERROR(LOOKUP(2,1/($B$2:B69=B70),$L$2:L69),VLOOKUP(B70,Baseline!$A$2:$H$10,4,FALSE)))</f>
        <v/>
      </c>
      <c r="K70" s="6" t="str">
        <f t="shared" si="4"/>
        <v/>
      </c>
      <c r="L70" s="6" t="str">
        <f t="shared" si="5"/>
        <v/>
      </c>
      <c r="M70" s="8" t="str">
        <f>IF(B70="","",IF(K70="Transfer",C70,IFERROR(LOOKUP(2,1/($B$2:B69=B70),$M$2:M69),VLOOKUP(B70,Baseline!$A$2:$H$10,5,FALSE))))</f>
        <v/>
      </c>
      <c r="N70" s="6" t="str">
        <f>IF(B70="","",IF(K70="Transfer",0,IFERROR(LOOKUP(2,1/($B$2:B69=B70),$N$2:N69),VLOOKUP(B70,Baseline!$A$2:$H$10,6,FALSE))+IF(K70="Defence",1,0)))</f>
        <v/>
      </c>
      <c r="O70" s="6" t="str">
        <f>IF(B70="","",IFERROR(LOOKUP(2,1/($B$2:B69=B70),$O$2:O69),VLOOKUP(B70,Baseline!$A$2:$H$10,7,FALSE))+IF(K70="Transfer",1,0))</f>
        <v/>
      </c>
      <c r="P70" s="6" t="str">
        <f>IF(B70="","",IFERROR(LOOKUP(2,1/($B$2:B69=B70),$P$2:P69),VLOOKUP(B70,Baseline!$A$2:$H$10,8,FALSE))+IF(K70="Defence",1,0))</f>
        <v/>
      </c>
      <c r="Q70" s="5"/>
      <c r="R70" s="12"/>
    </row>
    <row r="71" spans="1:18">
      <c r="A71" s="6" t="str">
        <f>IF(OR(B71="",C71=""),"",VLOOKUP(B71,Lists!$A$2:$B$10,2,FALSE)&amp;"-"&amp;TEXT(C71,"yyyymmdd")&amp;"-"&amp;TEXT(COUNTIFS($B$2:B71,B71,$C$2:C71,C71),"00"))</f>
        <v/>
      </c>
      <c r="B71" s="5"/>
      <c r="C71" s="7"/>
      <c r="D71" s="5"/>
      <c r="E71" s="5"/>
      <c r="F71" s="5"/>
      <c r="G71" s="5"/>
      <c r="H71" s="10"/>
      <c r="I71" s="5"/>
      <c r="J71" s="6" t="str">
        <f>IF(B71="","",IFERROR(LOOKUP(2,1/($B$2:B70=B71),$L$2:L70),VLOOKUP(B71,Baseline!$A$2:$H$10,4,FALSE)))</f>
        <v/>
      </c>
      <c r="K71" s="6" t="str">
        <f t="shared" si="4"/>
        <v/>
      </c>
      <c r="L71" s="6" t="str">
        <f t="shared" si="5"/>
        <v/>
      </c>
      <c r="M71" s="8" t="str">
        <f>IF(B71="","",IF(K71="Transfer",C71,IFERROR(LOOKUP(2,1/($B$2:B70=B71),$M$2:M70),VLOOKUP(B71,Baseline!$A$2:$H$10,5,FALSE))))</f>
        <v/>
      </c>
      <c r="N71" s="6" t="str">
        <f>IF(B71="","",IF(K71="Transfer",0,IFERROR(LOOKUP(2,1/($B$2:B70=B71),$N$2:N70),VLOOKUP(B71,Baseline!$A$2:$H$10,6,FALSE))+IF(K71="Defence",1,0)))</f>
        <v/>
      </c>
      <c r="O71" s="6" t="str">
        <f>IF(B71="","",IFERROR(LOOKUP(2,1/($B$2:B70=B71),$O$2:O70),VLOOKUP(B71,Baseline!$A$2:$H$10,7,FALSE))+IF(K71="Transfer",1,0))</f>
        <v/>
      </c>
      <c r="P71" s="6" t="str">
        <f>IF(B71="","",IFERROR(LOOKUP(2,1/($B$2:B70=B71),$P$2:P70),VLOOKUP(B71,Baseline!$A$2:$H$10,8,FALSE))+IF(K71="Defence",1,0))</f>
        <v/>
      </c>
      <c r="Q71" s="5"/>
      <c r="R71" s="12"/>
    </row>
    <row r="72" spans="1:18">
      <c r="A72" s="6" t="str">
        <f>IF(OR(B72="",C72=""),"",VLOOKUP(B72,Lists!$A$2:$B$10,2,FALSE)&amp;"-"&amp;TEXT(C72,"yyyymmdd")&amp;"-"&amp;TEXT(COUNTIFS($B$2:B72,B72,$C$2:C72,C72),"00"))</f>
        <v/>
      </c>
      <c r="B72" s="5"/>
      <c r="C72" s="7"/>
      <c r="D72" s="5"/>
      <c r="E72" s="5"/>
      <c r="F72" s="5"/>
      <c r="G72" s="5"/>
      <c r="H72" s="10"/>
      <c r="I72" s="5"/>
      <c r="J72" s="6" t="str">
        <f>IF(B72="","",IFERROR(LOOKUP(2,1/($B$2:B71=B72),$L$2:L71),VLOOKUP(B72,Baseline!$A$2:$H$10,4,FALSE)))</f>
        <v/>
      </c>
      <c r="K72" s="6" t="str">
        <f t="shared" si="4"/>
        <v/>
      </c>
      <c r="L72" s="6" t="str">
        <f t="shared" si="5"/>
        <v/>
      </c>
      <c r="M72" s="8" t="str">
        <f>IF(B72="","",IF(K72="Transfer",C72,IFERROR(LOOKUP(2,1/($B$2:B71=B72),$M$2:M71),VLOOKUP(B72,Baseline!$A$2:$H$10,5,FALSE))))</f>
        <v/>
      </c>
      <c r="N72" s="6" t="str">
        <f>IF(B72="","",IF(K72="Transfer",0,IFERROR(LOOKUP(2,1/($B$2:B71=B72),$N$2:N71),VLOOKUP(B72,Baseline!$A$2:$H$10,6,FALSE))+IF(K72="Defence",1,0)))</f>
        <v/>
      </c>
      <c r="O72" s="6" t="str">
        <f>IF(B72="","",IFERROR(LOOKUP(2,1/($B$2:B71=B72),$O$2:O71),VLOOKUP(B72,Baseline!$A$2:$H$10,7,FALSE))+IF(K72="Transfer",1,0))</f>
        <v/>
      </c>
      <c r="P72" s="6" t="str">
        <f>IF(B72="","",IFERROR(LOOKUP(2,1/($B$2:B71=B72),$P$2:P71),VLOOKUP(B72,Baseline!$A$2:$H$10,8,FALSE))+IF(K72="Defence",1,0))</f>
        <v/>
      </c>
      <c r="Q72" s="5"/>
      <c r="R72" s="12"/>
    </row>
    <row r="73" spans="1:18">
      <c r="A73" s="6" t="str">
        <f>IF(OR(B73="",C73=""),"",VLOOKUP(B73,Lists!$A$2:$B$10,2,FALSE)&amp;"-"&amp;TEXT(C73,"yyyymmdd")&amp;"-"&amp;TEXT(COUNTIFS($B$2:B73,B73,$C$2:C73,C73),"00"))</f>
        <v/>
      </c>
      <c r="B73" s="5"/>
      <c r="C73" s="7"/>
      <c r="D73" s="5"/>
      <c r="E73" s="5"/>
      <c r="F73" s="5"/>
      <c r="G73" s="5"/>
      <c r="H73" s="10"/>
      <c r="I73" s="5"/>
      <c r="J73" s="6" t="str">
        <f>IF(B73="","",IFERROR(LOOKUP(2,1/($B$2:B72=B73),$L$2:L72),VLOOKUP(B73,Baseline!$A$2:$H$10,4,FALSE)))</f>
        <v/>
      </c>
      <c r="K73" s="6" t="str">
        <f t="shared" si="4"/>
        <v/>
      </c>
      <c r="L73" s="6" t="str">
        <f t="shared" si="5"/>
        <v/>
      </c>
      <c r="M73" s="8" t="str">
        <f>IF(B73="","",IF(K73="Transfer",C73,IFERROR(LOOKUP(2,1/($B$2:B72=B73),$M$2:M72),VLOOKUP(B73,Baseline!$A$2:$H$10,5,FALSE))))</f>
        <v/>
      </c>
      <c r="N73" s="6" t="str">
        <f>IF(B73="","",IF(K73="Transfer",0,IFERROR(LOOKUP(2,1/($B$2:B72=B73),$N$2:N72),VLOOKUP(B73,Baseline!$A$2:$H$10,6,FALSE))+IF(K73="Defence",1,0)))</f>
        <v/>
      </c>
      <c r="O73" s="6" t="str">
        <f>IF(B73="","",IFERROR(LOOKUP(2,1/($B$2:B72=B73),$O$2:O72),VLOOKUP(B73,Baseline!$A$2:$H$10,7,FALSE))+IF(K73="Transfer",1,0))</f>
        <v/>
      </c>
      <c r="P73" s="6" t="str">
        <f>IF(B73="","",IFERROR(LOOKUP(2,1/($B$2:B72=B73),$P$2:P72),VLOOKUP(B73,Baseline!$A$2:$H$10,8,FALSE))+IF(K73="Defence",1,0))</f>
        <v/>
      </c>
      <c r="Q73" s="5"/>
      <c r="R73" s="12"/>
    </row>
    <row r="74" spans="1:18">
      <c r="A74" s="6" t="str">
        <f>IF(OR(B74="",C74=""),"",VLOOKUP(B74,Lists!$A$2:$B$10,2,FALSE)&amp;"-"&amp;TEXT(C74,"yyyymmdd")&amp;"-"&amp;TEXT(COUNTIFS($B$2:B74,B74,$C$2:C74,C74),"00"))</f>
        <v/>
      </c>
      <c r="B74" s="5"/>
      <c r="C74" s="7"/>
      <c r="D74" s="5"/>
      <c r="E74" s="5"/>
      <c r="F74" s="5"/>
      <c r="G74" s="5"/>
      <c r="H74" s="10"/>
      <c r="I74" s="5"/>
      <c r="J74" s="6" t="str">
        <f>IF(B74="","",IFERROR(LOOKUP(2,1/($B$2:B73=B74),$L$2:L73),VLOOKUP(B74,Baseline!$A$2:$H$10,4,FALSE)))</f>
        <v/>
      </c>
      <c r="K74" s="6" t="str">
        <f t="shared" si="4"/>
        <v/>
      </c>
      <c r="L74" s="6" t="str">
        <f t="shared" si="5"/>
        <v/>
      </c>
      <c r="M74" s="8" t="str">
        <f>IF(B74="","",IF(K74="Transfer",C74,IFERROR(LOOKUP(2,1/($B$2:B73=B74),$M$2:M73),VLOOKUP(B74,Baseline!$A$2:$H$10,5,FALSE))))</f>
        <v/>
      </c>
      <c r="N74" s="6" t="str">
        <f>IF(B74="","",IF(K74="Transfer",0,IFERROR(LOOKUP(2,1/($B$2:B73=B74),$N$2:N73),VLOOKUP(B74,Baseline!$A$2:$H$10,6,FALSE))+IF(K74="Defence",1,0)))</f>
        <v/>
      </c>
      <c r="O74" s="6" t="str">
        <f>IF(B74="","",IFERROR(LOOKUP(2,1/($B$2:B73=B74),$O$2:O73),VLOOKUP(B74,Baseline!$A$2:$H$10,7,FALSE))+IF(K74="Transfer",1,0))</f>
        <v/>
      </c>
      <c r="P74" s="6" t="str">
        <f>IF(B74="","",IFERROR(LOOKUP(2,1/($B$2:B73=B74),$P$2:P73),VLOOKUP(B74,Baseline!$A$2:$H$10,8,FALSE))+IF(K74="Defence",1,0))</f>
        <v/>
      </c>
      <c r="Q74" s="5"/>
      <c r="R74" s="12"/>
    </row>
    <row r="75" spans="1:18">
      <c r="A75" s="6" t="str">
        <f>IF(OR(B75="",C75=""),"",VLOOKUP(B75,Lists!$A$2:$B$10,2,FALSE)&amp;"-"&amp;TEXT(C75,"yyyymmdd")&amp;"-"&amp;TEXT(COUNTIFS($B$2:B75,B75,$C$2:C75,C75),"00"))</f>
        <v/>
      </c>
      <c r="B75" s="5"/>
      <c r="C75" s="7"/>
      <c r="D75" s="5"/>
      <c r="E75" s="5"/>
      <c r="F75" s="5"/>
      <c r="G75" s="5"/>
      <c r="H75" s="10"/>
      <c r="I75" s="5"/>
      <c r="J75" s="6" t="str">
        <f>IF(B75="","",IFERROR(LOOKUP(2,1/($B$2:B74=B75),$L$2:L74),VLOOKUP(B75,Baseline!$A$2:$H$10,4,FALSE)))</f>
        <v/>
      </c>
      <c r="K75" s="6" t="str">
        <f t="shared" si="4"/>
        <v/>
      </c>
      <c r="L75" s="6" t="str">
        <f t="shared" si="5"/>
        <v/>
      </c>
      <c r="M75" s="8" t="str">
        <f>IF(B75="","",IF(K75="Transfer",C75,IFERROR(LOOKUP(2,1/($B$2:B74=B75),$M$2:M74),VLOOKUP(B75,Baseline!$A$2:$H$10,5,FALSE))))</f>
        <v/>
      </c>
      <c r="N75" s="6" t="str">
        <f>IF(B75="","",IF(K75="Transfer",0,IFERROR(LOOKUP(2,1/($B$2:B74=B75),$N$2:N74),VLOOKUP(B75,Baseline!$A$2:$H$10,6,FALSE))+IF(K75="Defence",1,0)))</f>
        <v/>
      </c>
      <c r="O75" s="6" t="str">
        <f>IF(B75="","",IFERROR(LOOKUP(2,1/($B$2:B74=B75),$O$2:O74),VLOOKUP(B75,Baseline!$A$2:$H$10,7,FALSE))+IF(K75="Transfer",1,0))</f>
        <v/>
      </c>
      <c r="P75" s="6" t="str">
        <f>IF(B75="","",IFERROR(LOOKUP(2,1/($B$2:B74=B75),$P$2:P74),VLOOKUP(B75,Baseline!$A$2:$H$10,8,FALSE))+IF(K75="Defence",1,0))</f>
        <v/>
      </c>
      <c r="Q75" s="5"/>
      <c r="R75" s="12"/>
    </row>
    <row r="76" spans="1:18">
      <c r="A76" s="6" t="str">
        <f>IF(OR(B76="",C76=""),"",VLOOKUP(B76,Lists!$A$2:$B$10,2,FALSE)&amp;"-"&amp;TEXT(C76,"yyyymmdd")&amp;"-"&amp;TEXT(COUNTIFS($B$2:B76,B76,$C$2:C76,C76),"00"))</f>
        <v/>
      </c>
      <c r="B76" s="5"/>
      <c r="C76" s="7"/>
      <c r="D76" s="5"/>
      <c r="E76" s="5"/>
      <c r="F76" s="5"/>
      <c r="G76" s="5"/>
      <c r="H76" s="10"/>
      <c r="I76" s="5"/>
      <c r="J76" s="6" t="str">
        <f>IF(B76="","",IFERROR(LOOKUP(2,1/($B$2:B75=B76),$L$2:L75),VLOOKUP(B76,Baseline!$A$2:$H$10,4,FALSE)))</f>
        <v/>
      </c>
      <c r="K76" s="6" t="str">
        <f t="shared" si="4"/>
        <v/>
      </c>
      <c r="L76" s="6" t="str">
        <f t="shared" si="5"/>
        <v/>
      </c>
      <c r="M76" s="8" t="str">
        <f>IF(B76="","",IF(K76="Transfer",C76,IFERROR(LOOKUP(2,1/($B$2:B75=B76),$M$2:M75),VLOOKUP(B76,Baseline!$A$2:$H$10,5,FALSE))))</f>
        <v/>
      </c>
      <c r="N76" s="6" t="str">
        <f>IF(B76="","",IF(K76="Transfer",0,IFERROR(LOOKUP(2,1/($B$2:B75=B76),$N$2:N75),VLOOKUP(B76,Baseline!$A$2:$H$10,6,FALSE))+IF(K76="Defence",1,0)))</f>
        <v/>
      </c>
      <c r="O76" s="6" t="str">
        <f>IF(B76="","",IFERROR(LOOKUP(2,1/($B$2:B75=B76),$O$2:O75),VLOOKUP(B76,Baseline!$A$2:$H$10,7,FALSE))+IF(K76="Transfer",1,0))</f>
        <v/>
      </c>
      <c r="P76" s="6" t="str">
        <f>IF(B76="","",IFERROR(LOOKUP(2,1/($B$2:B75=B76),$P$2:P75),VLOOKUP(B76,Baseline!$A$2:$H$10,8,FALSE))+IF(K76="Defence",1,0))</f>
        <v/>
      </c>
      <c r="Q76" s="5"/>
      <c r="R76" s="12"/>
    </row>
    <row r="77" spans="1:18">
      <c r="A77" s="6" t="str">
        <f>IF(OR(B77="",C77=""),"",VLOOKUP(B77,Lists!$A$2:$B$10,2,FALSE)&amp;"-"&amp;TEXT(C77,"yyyymmdd")&amp;"-"&amp;TEXT(COUNTIFS($B$2:B77,B77,$C$2:C77,C77),"00"))</f>
        <v/>
      </c>
      <c r="B77" s="5"/>
      <c r="C77" s="7"/>
      <c r="D77" s="5"/>
      <c r="E77" s="5"/>
      <c r="F77" s="5"/>
      <c r="G77" s="5"/>
      <c r="H77" s="10"/>
      <c r="I77" s="5"/>
      <c r="J77" s="6" t="str">
        <f>IF(B77="","",IFERROR(LOOKUP(2,1/($B$2:B76=B77),$L$2:L76),VLOOKUP(B77,Baseline!$A$2:$H$10,4,FALSE)))</f>
        <v/>
      </c>
      <c r="K77" s="6" t="str">
        <f t="shared" si="4"/>
        <v/>
      </c>
      <c r="L77" s="6" t="str">
        <f t="shared" si="5"/>
        <v/>
      </c>
      <c r="M77" s="8" t="str">
        <f>IF(B77="","",IF(K77="Transfer",C77,IFERROR(LOOKUP(2,1/($B$2:B76=B77),$M$2:M76),VLOOKUP(B77,Baseline!$A$2:$H$10,5,FALSE))))</f>
        <v/>
      </c>
      <c r="N77" s="6" t="str">
        <f>IF(B77="","",IF(K77="Transfer",0,IFERROR(LOOKUP(2,1/($B$2:B76=B77),$N$2:N76),VLOOKUP(B77,Baseline!$A$2:$H$10,6,FALSE))+IF(K77="Defence",1,0)))</f>
        <v/>
      </c>
      <c r="O77" s="6" t="str">
        <f>IF(B77="","",IFERROR(LOOKUP(2,1/($B$2:B76=B77),$O$2:O76),VLOOKUP(B77,Baseline!$A$2:$H$10,7,FALSE))+IF(K77="Transfer",1,0))</f>
        <v/>
      </c>
      <c r="P77" s="6" t="str">
        <f>IF(B77="","",IFERROR(LOOKUP(2,1/($B$2:B76=B77),$P$2:P76),VLOOKUP(B77,Baseline!$A$2:$H$10,8,FALSE))+IF(K77="Defence",1,0))</f>
        <v/>
      </c>
      <c r="Q77" s="5"/>
      <c r="R77" s="12"/>
    </row>
    <row r="78" spans="1:18">
      <c r="A78" s="6" t="str">
        <f>IF(OR(B78="",C78=""),"",VLOOKUP(B78,Lists!$A$2:$B$10,2,FALSE)&amp;"-"&amp;TEXT(C78,"yyyymmdd")&amp;"-"&amp;TEXT(COUNTIFS($B$2:B78,B78,$C$2:C78,C78),"00"))</f>
        <v/>
      </c>
      <c r="B78" s="5"/>
      <c r="C78" s="7"/>
      <c r="D78" s="5"/>
      <c r="E78" s="5"/>
      <c r="F78" s="5"/>
      <c r="G78" s="5"/>
      <c r="H78" s="10"/>
      <c r="I78" s="5"/>
      <c r="J78" s="6" t="str">
        <f>IF(B78="","",IFERROR(LOOKUP(2,1/($B$2:B77=B78),$L$2:L77),VLOOKUP(B78,Baseline!$A$2:$H$10,4,FALSE)))</f>
        <v/>
      </c>
      <c r="K78" s="6" t="str">
        <f t="shared" si="4"/>
        <v/>
      </c>
      <c r="L78" s="6" t="str">
        <f t="shared" si="5"/>
        <v/>
      </c>
      <c r="M78" s="8" t="str">
        <f>IF(B78="","",IF(K78="Transfer",C78,IFERROR(LOOKUP(2,1/($B$2:B77=B78),$M$2:M77),VLOOKUP(B78,Baseline!$A$2:$H$10,5,FALSE))))</f>
        <v/>
      </c>
      <c r="N78" s="6" t="str">
        <f>IF(B78="","",IF(K78="Transfer",0,IFERROR(LOOKUP(2,1/($B$2:B77=B78),$N$2:N77),VLOOKUP(B78,Baseline!$A$2:$H$10,6,FALSE))+IF(K78="Defence",1,0)))</f>
        <v/>
      </c>
      <c r="O78" s="6" t="str">
        <f>IF(B78="","",IFERROR(LOOKUP(2,1/($B$2:B77=B78),$O$2:O77),VLOOKUP(B78,Baseline!$A$2:$H$10,7,FALSE))+IF(K78="Transfer",1,0))</f>
        <v/>
      </c>
      <c r="P78" s="6" t="str">
        <f>IF(B78="","",IFERROR(LOOKUP(2,1/($B$2:B77=B78),$P$2:P77),VLOOKUP(B78,Baseline!$A$2:$H$10,8,FALSE))+IF(K78="Defence",1,0))</f>
        <v/>
      </c>
      <c r="Q78" s="5"/>
      <c r="R78" s="12"/>
    </row>
    <row r="79" spans="1:18">
      <c r="A79" s="6" t="str">
        <f>IF(OR(B79="",C79=""),"",VLOOKUP(B79,Lists!$A$2:$B$10,2,FALSE)&amp;"-"&amp;TEXT(C79,"yyyymmdd")&amp;"-"&amp;TEXT(COUNTIFS($B$2:B79,B79,$C$2:C79,C79),"00"))</f>
        <v/>
      </c>
      <c r="B79" s="5"/>
      <c r="C79" s="7"/>
      <c r="D79" s="5"/>
      <c r="E79" s="5"/>
      <c r="F79" s="5"/>
      <c r="G79" s="5"/>
      <c r="H79" s="10"/>
      <c r="I79" s="5"/>
      <c r="J79" s="6" t="str">
        <f>IF(B79="","",IFERROR(LOOKUP(2,1/($B$2:B78=B79),$L$2:L78),VLOOKUP(B79,Baseline!$A$2:$H$10,4,FALSE)))</f>
        <v/>
      </c>
      <c r="K79" s="6" t="str">
        <f t="shared" si="4"/>
        <v/>
      </c>
      <c r="L79" s="6" t="str">
        <f t="shared" si="5"/>
        <v/>
      </c>
      <c r="M79" s="8" t="str">
        <f>IF(B79="","",IF(K79="Transfer",C79,IFERROR(LOOKUP(2,1/($B$2:B78=B79),$M$2:M78),VLOOKUP(B79,Baseline!$A$2:$H$10,5,FALSE))))</f>
        <v/>
      </c>
      <c r="N79" s="6" t="str">
        <f>IF(B79="","",IF(K79="Transfer",0,IFERROR(LOOKUP(2,1/($B$2:B78=B79),$N$2:N78),VLOOKUP(B79,Baseline!$A$2:$H$10,6,FALSE))+IF(K79="Defence",1,0)))</f>
        <v/>
      </c>
      <c r="O79" s="6" t="str">
        <f>IF(B79="","",IFERROR(LOOKUP(2,1/($B$2:B78=B79),$O$2:O78),VLOOKUP(B79,Baseline!$A$2:$H$10,7,FALSE))+IF(K79="Transfer",1,0))</f>
        <v/>
      </c>
      <c r="P79" s="6" t="str">
        <f>IF(B79="","",IFERROR(LOOKUP(2,1/($B$2:B78=B79),$P$2:P78),VLOOKUP(B79,Baseline!$A$2:$H$10,8,FALSE))+IF(K79="Defence",1,0))</f>
        <v/>
      </c>
      <c r="Q79" s="5"/>
      <c r="R79" s="12"/>
    </row>
    <row r="80" spans="1:18">
      <c r="A80" s="6" t="str">
        <f>IF(OR(B80="",C80=""),"",VLOOKUP(B80,Lists!$A$2:$B$10,2,FALSE)&amp;"-"&amp;TEXT(C80,"yyyymmdd")&amp;"-"&amp;TEXT(COUNTIFS($B$2:B80,B80,$C$2:C80,C80),"00"))</f>
        <v/>
      </c>
      <c r="B80" s="5"/>
      <c r="C80" s="7"/>
      <c r="D80" s="5"/>
      <c r="E80" s="5"/>
      <c r="F80" s="5"/>
      <c r="G80" s="5"/>
      <c r="H80" s="10"/>
      <c r="I80" s="5"/>
      <c r="J80" s="6" t="str">
        <f>IF(B80="","",IFERROR(LOOKUP(2,1/($B$2:B79=B80),$L$2:L79),VLOOKUP(B80,Baseline!$A$2:$H$10,4,FALSE)))</f>
        <v/>
      </c>
      <c r="K80" s="6" t="str">
        <f t="shared" si="4"/>
        <v/>
      </c>
      <c r="L80" s="6" t="str">
        <f t="shared" si="5"/>
        <v/>
      </c>
      <c r="M80" s="8" t="str">
        <f>IF(B80="","",IF(K80="Transfer",C80,IFERROR(LOOKUP(2,1/($B$2:B79=B80),$M$2:M79),VLOOKUP(B80,Baseline!$A$2:$H$10,5,FALSE))))</f>
        <v/>
      </c>
      <c r="N80" s="6" t="str">
        <f>IF(B80="","",IF(K80="Transfer",0,IFERROR(LOOKUP(2,1/($B$2:B79=B80),$N$2:N79),VLOOKUP(B80,Baseline!$A$2:$H$10,6,FALSE))+IF(K80="Defence",1,0)))</f>
        <v/>
      </c>
      <c r="O80" s="6" t="str">
        <f>IF(B80="","",IFERROR(LOOKUP(2,1/($B$2:B79=B80),$O$2:O79),VLOOKUP(B80,Baseline!$A$2:$H$10,7,FALSE))+IF(K80="Transfer",1,0))</f>
        <v/>
      </c>
      <c r="P80" s="6" t="str">
        <f>IF(B80="","",IFERROR(LOOKUP(2,1/($B$2:B79=B80),$P$2:P79),VLOOKUP(B80,Baseline!$A$2:$H$10,8,FALSE))+IF(K80="Defence",1,0))</f>
        <v/>
      </c>
      <c r="Q80" s="5"/>
      <c r="R80" s="12"/>
    </row>
    <row r="81" spans="1:18">
      <c r="A81" s="6" t="str">
        <f>IF(OR(B81="",C81=""),"",VLOOKUP(B81,Lists!$A$2:$B$10,2,FALSE)&amp;"-"&amp;TEXT(C81,"yyyymmdd")&amp;"-"&amp;TEXT(COUNTIFS($B$2:B81,B81,$C$2:C81,C81),"00"))</f>
        <v/>
      </c>
      <c r="B81" s="5"/>
      <c r="C81" s="7"/>
      <c r="D81" s="5"/>
      <c r="E81" s="5"/>
      <c r="F81" s="5"/>
      <c r="G81" s="5"/>
      <c r="H81" s="10"/>
      <c r="I81" s="5"/>
      <c r="J81" s="6" t="str">
        <f>IF(B81="","",IFERROR(LOOKUP(2,1/($B$2:B80=B81),$L$2:L80),VLOOKUP(B81,Baseline!$A$2:$H$10,4,FALSE)))</f>
        <v/>
      </c>
      <c r="K81" s="6" t="str">
        <f t="shared" si="4"/>
        <v/>
      </c>
      <c r="L81" s="6" t="str">
        <f t="shared" si="5"/>
        <v/>
      </c>
      <c r="M81" s="8" t="str">
        <f>IF(B81="","",IF(K81="Transfer",C81,IFERROR(LOOKUP(2,1/($B$2:B80=B81),$M$2:M80),VLOOKUP(B81,Baseline!$A$2:$H$10,5,FALSE))))</f>
        <v/>
      </c>
      <c r="N81" s="6" t="str">
        <f>IF(B81="","",IF(K81="Transfer",0,IFERROR(LOOKUP(2,1/($B$2:B80=B81),$N$2:N80),VLOOKUP(B81,Baseline!$A$2:$H$10,6,FALSE))+IF(K81="Defence",1,0)))</f>
        <v/>
      </c>
      <c r="O81" s="6" t="str">
        <f>IF(B81="","",IFERROR(LOOKUP(2,1/($B$2:B80=B81),$O$2:O80),VLOOKUP(B81,Baseline!$A$2:$H$10,7,FALSE))+IF(K81="Transfer",1,0))</f>
        <v/>
      </c>
      <c r="P81" s="6" t="str">
        <f>IF(B81="","",IFERROR(LOOKUP(2,1/($B$2:B80=B81),$P$2:P80),VLOOKUP(B81,Baseline!$A$2:$H$10,8,FALSE))+IF(K81="Defence",1,0))</f>
        <v/>
      </c>
      <c r="Q81" s="5"/>
      <c r="R81" s="12"/>
    </row>
    <row r="82" spans="1:18">
      <c r="A82" s="6" t="str">
        <f>IF(OR(B82="",C82=""),"",VLOOKUP(B82,Lists!$A$2:$B$10,2,FALSE)&amp;"-"&amp;TEXT(C82,"yyyymmdd")&amp;"-"&amp;TEXT(COUNTIFS($B$2:B82,B82,$C$2:C82,C82),"00"))</f>
        <v/>
      </c>
      <c r="B82" s="5"/>
      <c r="C82" s="7"/>
      <c r="D82" s="5"/>
      <c r="E82" s="5"/>
      <c r="F82" s="5"/>
      <c r="G82" s="5"/>
      <c r="H82" s="10"/>
      <c r="I82" s="5"/>
      <c r="J82" s="6" t="str">
        <f>IF(B82="","",IFERROR(LOOKUP(2,1/($B$2:B81=B82),$L$2:L81),VLOOKUP(B82,Baseline!$A$2:$H$10,4,FALSE)))</f>
        <v/>
      </c>
      <c r="K82" s="6" t="str">
        <f t="shared" si="4"/>
        <v/>
      </c>
      <c r="L82" s="6" t="str">
        <f t="shared" si="5"/>
        <v/>
      </c>
      <c r="M82" s="8" t="str">
        <f>IF(B82="","",IF(K82="Transfer",C82,IFERROR(LOOKUP(2,1/($B$2:B81=B82),$M$2:M81),VLOOKUP(B82,Baseline!$A$2:$H$10,5,FALSE))))</f>
        <v/>
      </c>
      <c r="N82" s="6" t="str">
        <f>IF(B82="","",IF(K82="Transfer",0,IFERROR(LOOKUP(2,1/($B$2:B81=B82),$N$2:N81),VLOOKUP(B82,Baseline!$A$2:$H$10,6,FALSE))+IF(K82="Defence",1,0)))</f>
        <v/>
      </c>
      <c r="O82" s="6" t="str">
        <f>IF(B82="","",IFERROR(LOOKUP(2,1/($B$2:B81=B82),$O$2:O81),VLOOKUP(B82,Baseline!$A$2:$H$10,7,FALSE))+IF(K82="Transfer",1,0))</f>
        <v/>
      </c>
      <c r="P82" s="6" t="str">
        <f>IF(B82="","",IFERROR(LOOKUP(2,1/($B$2:B81=B82),$P$2:P81),VLOOKUP(B82,Baseline!$A$2:$H$10,8,FALSE))+IF(K82="Defence",1,0))</f>
        <v/>
      </c>
      <c r="Q82" s="5"/>
      <c r="R82" s="12"/>
    </row>
    <row r="83" spans="1:18">
      <c r="A83" s="6" t="str">
        <f>IF(OR(B83="",C83=""),"",VLOOKUP(B83,Lists!$A$2:$B$10,2,FALSE)&amp;"-"&amp;TEXT(C83,"yyyymmdd")&amp;"-"&amp;TEXT(COUNTIFS($B$2:B83,B83,$C$2:C83,C83),"00"))</f>
        <v/>
      </c>
      <c r="B83" s="5"/>
      <c r="C83" s="7"/>
      <c r="D83" s="5"/>
      <c r="E83" s="5"/>
      <c r="F83" s="5"/>
      <c r="G83" s="5"/>
      <c r="H83" s="10"/>
      <c r="I83" s="5"/>
      <c r="J83" s="6" t="str">
        <f>IF(B83="","",IFERROR(LOOKUP(2,1/($B$2:B82=B83),$L$2:L82),VLOOKUP(B83,Baseline!$A$2:$H$10,4,FALSE)))</f>
        <v/>
      </c>
      <c r="K83" s="6" t="str">
        <f t="shared" si="4"/>
        <v/>
      </c>
      <c r="L83" s="6" t="str">
        <f t="shared" si="5"/>
        <v/>
      </c>
      <c r="M83" s="8" t="str">
        <f>IF(B83="","",IF(K83="Transfer",C83,IFERROR(LOOKUP(2,1/($B$2:B82=B83),$M$2:M82),VLOOKUP(B83,Baseline!$A$2:$H$10,5,FALSE))))</f>
        <v/>
      </c>
      <c r="N83" s="6" t="str">
        <f>IF(B83="","",IF(K83="Transfer",0,IFERROR(LOOKUP(2,1/($B$2:B82=B83),$N$2:N82),VLOOKUP(B83,Baseline!$A$2:$H$10,6,FALSE))+IF(K83="Defence",1,0)))</f>
        <v/>
      </c>
      <c r="O83" s="6" t="str">
        <f>IF(B83="","",IFERROR(LOOKUP(2,1/($B$2:B82=B83),$O$2:O82),VLOOKUP(B83,Baseline!$A$2:$H$10,7,FALSE))+IF(K83="Transfer",1,0))</f>
        <v/>
      </c>
      <c r="P83" s="6" t="str">
        <f>IF(B83="","",IFERROR(LOOKUP(2,1/($B$2:B82=B83),$P$2:P82),VLOOKUP(B83,Baseline!$A$2:$H$10,8,FALSE))+IF(K83="Defence",1,0))</f>
        <v/>
      </c>
      <c r="Q83" s="5"/>
      <c r="R83" s="12"/>
    </row>
    <row r="84" spans="1:18">
      <c r="A84" s="6" t="str">
        <f>IF(OR(B84="",C84=""),"",VLOOKUP(B84,Lists!$A$2:$B$10,2,FALSE)&amp;"-"&amp;TEXT(C84,"yyyymmdd")&amp;"-"&amp;TEXT(COUNTIFS($B$2:B84,B84,$C$2:C84,C84),"00"))</f>
        <v/>
      </c>
      <c r="B84" s="5"/>
      <c r="C84" s="7"/>
      <c r="D84" s="5"/>
      <c r="E84" s="5"/>
      <c r="F84" s="5"/>
      <c r="G84" s="5"/>
      <c r="H84" s="10"/>
      <c r="I84" s="5"/>
      <c r="J84" s="6" t="str">
        <f>IF(B84="","",IFERROR(LOOKUP(2,1/($B$2:B83=B84),$L$2:L83),VLOOKUP(B84,Baseline!$A$2:$H$10,4,FALSE)))</f>
        <v/>
      </c>
      <c r="K84" s="6" t="str">
        <f t="shared" si="4"/>
        <v/>
      </c>
      <c r="L84" s="6" t="str">
        <f t="shared" si="5"/>
        <v/>
      </c>
      <c r="M84" s="8" t="str">
        <f>IF(B84="","",IF(K84="Transfer",C84,IFERROR(LOOKUP(2,1/($B$2:B83=B84),$M$2:M83),VLOOKUP(B84,Baseline!$A$2:$H$10,5,FALSE))))</f>
        <v/>
      </c>
      <c r="N84" s="6" t="str">
        <f>IF(B84="","",IF(K84="Transfer",0,IFERROR(LOOKUP(2,1/($B$2:B83=B84),$N$2:N83),VLOOKUP(B84,Baseline!$A$2:$H$10,6,FALSE))+IF(K84="Defence",1,0)))</f>
        <v/>
      </c>
      <c r="O84" s="6" t="str">
        <f>IF(B84="","",IFERROR(LOOKUP(2,1/($B$2:B83=B84),$O$2:O83),VLOOKUP(B84,Baseline!$A$2:$H$10,7,FALSE))+IF(K84="Transfer",1,0))</f>
        <v/>
      </c>
      <c r="P84" s="6" t="str">
        <f>IF(B84="","",IFERROR(LOOKUP(2,1/($B$2:B83=B84),$P$2:P83),VLOOKUP(B84,Baseline!$A$2:$H$10,8,FALSE))+IF(K84="Defence",1,0))</f>
        <v/>
      </c>
      <c r="Q84" s="5"/>
      <c r="R84" s="12"/>
    </row>
    <row r="85" spans="1:18">
      <c r="A85" s="6" t="str">
        <f>IF(OR(B85="",C85=""),"",VLOOKUP(B85,Lists!$A$2:$B$10,2,FALSE)&amp;"-"&amp;TEXT(C85,"yyyymmdd")&amp;"-"&amp;TEXT(COUNTIFS($B$2:B85,B85,$C$2:C85,C85),"00"))</f>
        <v/>
      </c>
      <c r="B85" s="5"/>
      <c r="C85" s="7"/>
      <c r="D85" s="5"/>
      <c r="E85" s="5"/>
      <c r="F85" s="5"/>
      <c r="G85" s="5"/>
      <c r="H85" s="10"/>
      <c r="I85" s="5"/>
      <c r="J85" s="6" t="str">
        <f>IF(B85="","",IFERROR(LOOKUP(2,1/($B$2:B84=B85),$L$2:L84),VLOOKUP(B85,Baseline!$A$2:$H$10,4,FALSE)))</f>
        <v/>
      </c>
      <c r="K85" s="6" t="str">
        <f t="shared" si="4"/>
        <v/>
      </c>
      <c r="L85" s="6" t="str">
        <f t="shared" si="5"/>
        <v/>
      </c>
      <c r="M85" s="8" t="str">
        <f>IF(B85="","",IF(K85="Transfer",C85,IFERROR(LOOKUP(2,1/($B$2:B84=B85),$M$2:M84),VLOOKUP(B85,Baseline!$A$2:$H$10,5,FALSE))))</f>
        <v/>
      </c>
      <c r="N85" s="6" t="str">
        <f>IF(B85="","",IF(K85="Transfer",0,IFERROR(LOOKUP(2,1/($B$2:B84=B85),$N$2:N84),VLOOKUP(B85,Baseline!$A$2:$H$10,6,FALSE))+IF(K85="Defence",1,0)))</f>
        <v/>
      </c>
      <c r="O85" s="6" t="str">
        <f>IF(B85="","",IFERROR(LOOKUP(2,1/($B$2:B84=B85),$O$2:O84),VLOOKUP(B85,Baseline!$A$2:$H$10,7,FALSE))+IF(K85="Transfer",1,0))</f>
        <v/>
      </c>
      <c r="P85" s="6" t="str">
        <f>IF(B85="","",IFERROR(LOOKUP(2,1/($B$2:B84=B85),$P$2:P84),VLOOKUP(B85,Baseline!$A$2:$H$10,8,FALSE))+IF(K85="Defence",1,0))</f>
        <v/>
      </c>
      <c r="Q85" s="5"/>
      <c r="R85" s="12"/>
    </row>
    <row r="86" spans="1:18">
      <c r="A86" s="6" t="str">
        <f>IF(OR(B86="",C86=""),"",VLOOKUP(B86,Lists!$A$2:$B$10,2,FALSE)&amp;"-"&amp;TEXT(C86,"yyyymmdd")&amp;"-"&amp;TEXT(COUNTIFS($B$2:B86,B86,$C$2:C86,C86),"00"))</f>
        <v/>
      </c>
      <c r="B86" s="5"/>
      <c r="C86" s="7"/>
      <c r="D86" s="5"/>
      <c r="E86" s="5"/>
      <c r="F86" s="5"/>
      <c r="G86" s="5"/>
      <c r="H86" s="10"/>
      <c r="I86" s="5"/>
      <c r="J86" s="6" t="str">
        <f>IF(B86="","",IFERROR(LOOKUP(2,1/($B$2:B85=B86),$L$2:L85),VLOOKUP(B86,Baseline!$A$2:$H$10,4,FALSE)))</f>
        <v/>
      </c>
      <c r="K86" s="6" t="str">
        <f t="shared" si="4"/>
        <v/>
      </c>
      <c r="L86" s="6" t="str">
        <f t="shared" si="5"/>
        <v/>
      </c>
      <c r="M86" s="8" t="str">
        <f>IF(B86="","",IF(K86="Transfer",C86,IFERROR(LOOKUP(2,1/($B$2:B85=B86),$M$2:M85),VLOOKUP(B86,Baseline!$A$2:$H$10,5,FALSE))))</f>
        <v/>
      </c>
      <c r="N86" s="6" t="str">
        <f>IF(B86="","",IF(K86="Transfer",0,IFERROR(LOOKUP(2,1/($B$2:B85=B86),$N$2:N85),VLOOKUP(B86,Baseline!$A$2:$H$10,6,FALSE))+IF(K86="Defence",1,0)))</f>
        <v/>
      </c>
      <c r="O86" s="6" t="str">
        <f>IF(B86="","",IFERROR(LOOKUP(2,1/($B$2:B85=B86),$O$2:O85),VLOOKUP(B86,Baseline!$A$2:$H$10,7,FALSE))+IF(K86="Transfer",1,0))</f>
        <v/>
      </c>
      <c r="P86" s="6" t="str">
        <f>IF(B86="","",IFERROR(LOOKUP(2,1/($B$2:B85=B86),$P$2:P85),VLOOKUP(B86,Baseline!$A$2:$H$10,8,FALSE))+IF(K86="Defence",1,0))</f>
        <v/>
      </c>
      <c r="Q86" s="5"/>
      <c r="R86" s="12"/>
    </row>
    <row r="87" spans="1:18">
      <c r="A87" s="6" t="str">
        <f>IF(OR(B87="",C87=""),"",VLOOKUP(B87,Lists!$A$2:$B$10,2,FALSE)&amp;"-"&amp;TEXT(C87,"yyyymmdd")&amp;"-"&amp;TEXT(COUNTIFS($B$2:B87,B87,$C$2:C87,C87),"00"))</f>
        <v/>
      </c>
      <c r="B87" s="5"/>
      <c r="C87" s="7"/>
      <c r="D87" s="5"/>
      <c r="E87" s="5"/>
      <c r="F87" s="5"/>
      <c r="G87" s="5"/>
      <c r="H87" s="10"/>
      <c r="I87" s="5"/>
      <c r="J87" s="6" t="str">
        <f>IF(B87="","",IFERROR(LOOKUP(2,1/($B$2:B86=B87),$L$2:L86),VLOOKUP(B87,Baseline!$A$2:$H$10,4,FALSE)))</f>
        <v/>
      </c>
      <c r="K87" s="6" t="str">
        <f t="shared" si="4"/>
        <v/>
      </c>
      <c r="L87" s="6" t="str">
        <f t="shared" si="5"/>
        <v/>
      </c>
      <c r="M87" s="8" t="str">
        <f>IF(B87="","",IF(K87="Transfer",C87,IFERROR(LOOKUP(2,1/($B$2:B86=B87),$M$2:M86),VLOOKUP(B87,Baseline!$A$2:$H$10,5,FALSE))))</f>
        <v/>
      </c>
      <c r="N87" s="6" t="str">
        <f>IF(B87="","",IF(K87="Transfer",0,IFERROR(LOOKUP(2,1/($B$2:B86=B87),$N$2:N86),VLOOKUP(B87,Baseline!$A$2:$H$10,6,FALSE))+IF(K87="Defence",1,0)))</f>
        <v/>
      </c>
      <c r="O87" s="6" t="str">
        <f>IF(B87="","",IFERROR(LOOKUP(2,1/($B$2:B86=B87),$O$2:O86),VLOOKUP(B87,Baseline!$A$2:$H$10,7,FALSE))+IF(K87="Transfer",1,0))</f>
        <v/>
      </c>
      <c r="P87" s="6" t="str">
        <f>IF(B87="","",IFERROR(LOOKUP(2,1/($B$2:B86=B87),$P$2:P86),VLOOKUP(B87,Baseline!$A$2:$H$10,8,FALSE))+IF(K87="Defence",1,0))</f>
        <v/>
      </c>
      <c r="Q87" s="5"/>
      <c r="R87" s="12"/>
    </row>
    <row r="88" spans="1:18">
      <c r="A88" s="6" t="str">
        <f>IF(OR(B88="",C88=""),"",VLOOKUP(B88,Lists!$A$2:$B$10,2,FALSE)&amp;"-"&amp;TEXT(C88,"yyyymmdd")&amp;"-"&amp;TEXT(COUNTIFS($B$2:B88,B88,$C$2:C88,C88),"00"))</f>
        <v/>
      </c>
      <c r="B88" s="5"/>
      <c r="C88" s="7"/>
      <c r="D88" s="5"/>
      <c r="E88" s="5"/>
      <c r="F88" s="5"/>
      <c r="G88" s="5"/>
      <c r="H88" s="10"/>
      <c r="I88" s="5"/>
      <c r="J88" s="6" t="str">
        <f>IF(B88="","",IFERROR(LOOKUP(2,1/($B$2:B87=B88),$L$2:L87),VLOOKUP(B88,Baseline!$A$2:$H$10,4,FALSE)))</f>
        <v/>
      </c>
      <c r="K88" s="6" t="str">
        <f t="shared" si="4"/>
        <v/>
      </c>
      <c r="L88" s="6" t="str">
        <f t="shared" si="5"/>
        <v/>
      </c>
      <c r="M88" s="8" t="str">
        <f>IF(B88="","",IF(K88="Transfer",C88,IFERROR(LOOKUP(2,1/($B$2:B87=B88),$M$2:M87),VLOOKUP(B88,Baseline!$A$2:$H$10,5,FALSE))))</f>
        <v/>
      </c>
      <c r="N88" s="6" t="str">
        <f>IF(B88="","",IF(K88="Transfer",0,IFERROR(LOOKUP(2,1/($B$2:B87=B88),$N$2:N87),VLOOKUP(B88,Baseline!$A$2:$H$10,6,FALSE))+IF(K88="Defence",1,0)))</f>
        <v/>
      </c>
      <c r="O88" s="6" t="str">
        <f>IF(B88="","",IFERROR(LOOKUP(2,1/($B$2:B87=B88),$O$2:O87),VLOOKUP(B88,Baseline!$A$2:$H$10,7,FALSE))+IF(K88="Transfer",1,0))</f>
        <v/>
      </c>
      <c r="P88" s="6" t="str">
        <f>IF(B88="","",IFERROR(LOOKUP(2,1/($B$2:B87=B88),$P$2:P87),VLOOKUP(B88,Baseline!$A$2:$H$10,8,FALSE))+IF(K88="Defence",1,0))</f>
        <v/>
      </c>
      <c r="Q88" s="5"/>
      <c r="R88" s="12"/>
    </row>
    <row r="89" spans="1:18">
      <c r="A89" s="6" t="str">
        <f>IF(OR(B89="",C89=""),"",VLOOKUP(B89,Lists!$A$2:$B$10,2,FALSE)&amp;"-"&amp;TEXT(C89,"yyyymmdd")&amp;"-"&amp;TEXT(COUNTIFS($B$2:B89,B89,$C$2:C89,C89),"00"))</f>
        <v/>
      </c>
      <c r="B89" s="5"/>
      <c r="C89" s="7"/>
      <c r="D89" s="5"/>
      <c r="E89" s="5"/>
      <c r="F89" s="5"/>
      <c r="G89" s="5"/>
      <c r="H89" s="10"/>
      <c r="I89" s="5"/>
      <c r="J89" s="6" t="str">
        <f>IF(B89="","",IFERROR(LOOKUP(2,1/($B$2:B88=B89),$L$2:L88),VLOOKUP(B89,Baseline!$A$2:$H$10,4,FALSE)))</f>
        <v/>
      </c>
      <c r="K89" s="6" t="str">
        <f t="shared" si="4"/>
        <v/>
      </c>
      <c r="L89" s="6" t="str">
        <f t="shared" si="5"/>
        <v/>
      </c>
      <c r="M89" s="8" t="str">
        <f>IF(B89="","",IF(K89="Transfer",C89,IFERROR(LOOKUP(2,1/($B$2:B88=B89),$M$2:M88),VLOOKUP(B89,Baseline!$A$2:$H$10,5,FALSE))))</f>
        <v/>
      </c>
      <c r="N89" s="6" t="str">
        <f>IF(B89="","",IF(K89="Transfer",0,IFERROR(LOOKUP(2,1/($B$2:B88=B89),$N$2:N88),VLOOKUP(B89,Baseline!$A$2:$H$10,6,FALSE))+IF(K89="Defence",1,0)))</f>
        <v/>
      </c>
      <c r="O89" s="6" t="str">
        <f>IF(B89="","",IFERROR(LOOKUP(2,1/($B$2:B88=B89),$O$2:O88),VLOOKUP(B89,Baseline!$A$2:$H$10,7,FALSE))+IF(K89="Transfer",1,0))</f>
        <v/>
      </c>
      <c r="P89" s="6" t="str">
        <f>IF(B89="","",IFERROR(LOOKUP(2,1/($B$2:B88=B89),$P$2:P88),VLOOKUP(B89,Baseline!$A$2:$H$10,8,FALSE))+IF(K89="Defence",1,0))</f>
        <v/>
      </c>
      <c r="Q89" s="5"/>
      <c r="R89" s="12"/>
    </row>
    <row r="90" spans="1:18">
      <c r="A90" s="6" t="str">
        <f>IF(OR(B90="",C90=""),"",VLOOKUP(B90,Lists!$A$2:$B$10,2,FALSE)&amp;"-"&amp;TEXT(C90,"yyyymmdd")&amp;"-"&amp;TEXT(COUNTIFS($B$2:B90,B90,$C$2:C90,C90),"00"))</f>
        <v/>
      </c>
      <c r="B90" s="5"/>
      <c r="C90" s="7"/>
      <c r="D90" s="5"/>
      <c r="E90" s="5"/>
      <c r="F90" s="5"/>
      <c r="G90" s="5"/>
      <c r="H90" s="10"/>
      <c r="I90" s="5"/>
      <c r="J90" s="6" t="str">
        <f>IF(B90="","",IFERROR(LOOKUP(2,1/($B$2:B89=B90),$L$2:L89),VLOOKUP(B90,Baseline!$A$2:$H$10,4,FALSE)))</f>
        <v/>
      </c>
      <c r="K90" s="6" t="str">
        <f t="shared" si="4"/>
        <v/>
      </c>
      <c r="L90" s="6" t="str">
        <f t="shared" si="5"/>
        <v/>
      </c>
      <c r="M90" s="8" t="str">
        <f>IF(B90="","",IF(K90="Transfer",C90,IFERROR(LOOKUP(2,1/($B$2:B89=B90),$M$2:M89),VLOOKUP(B90,Baseline!$A$2:$H$10,5,FALSE))))</f>
        <v/>
      </c>
      <c r="N90" s="6" t="str">
        <f>IF(B90="","",IF(K90="Transfer",0,IFERROR(LOOKUP(2,1/($B$2:B89=B90),$N$2:N89),VLOOKUP(B90,Baseline!$A$2:$H$10,6,FALSE))+IF(K90="Defence",1,0)))</f>
        <v/>
      </c>
      <c r="O90" s="6" t="str">
        <f>IF(B90="","",IFERROR(LOOKUP(2,1/($B$2:B89=B90),$O$2:O89),VLOOKUP(B90,Baseline!$A$2:$H$10,7,FALSE))+IF(K90="Transfer",1,0))</f>
        <v/>
      </c>
      <c r="P90" s="6" t="str">
        <f>IF(B90="","",IFERROR(LOOKUP(2,1/($B$2:B89=B90),$P$2:P89),VLOOKUP(B90,Baseline!$A$2:$H$10,8,FALSE))+IF(K90="Defence",1,0))</f>
        <v/>
      </c>
      <c r="Q90" s="5"/>
      <c r="R90" s="12"/>
    </row>
    <row r="91" spans="1:18">
      <c r="A91" s="6" t="str">
        <f>IF(OR(B91="",C91=""),"",VLOOKUP(B91,Lists!$A$2:$B$10,2,FALSE)&amp;"-"&amp;TEXT(C91,"yyyymmdd")&amp;"-"&amp;TEXT(COUNTIFS($B$2:B91,B91,$C$2:C91,C91),"00"))</f>
        <v/>
      </c>
      <c r="B91" s="5"/>
      <c r="C91" s="7"/>
      <c r="D91" s="5"/>
      <c r="E91" s="5"/>
      <c r="F91" s="5"/>
      <c r="G91" s="5"/>
      <c r="H91" s="10"/>
      <c r="I91" s="5"/>
      <c r="J91" s="6" t="str">
        <f>IF(B91="","",IFERROR(LOOKUP(2,1/($B$2:B90=B91),$L$2:L90),VLOOKUP(B91,Baseline!$A$2:$H$10,4,FALSE)))</f>
        <v/>
      </c>
      <c r="K91" s="6" t="str">
        <f t="shared" si="4"/>
        <v/>
      </c>
      <c r="L91" s="6" t="str">
        <f t="shared" si="5"/>
        <v/>
      </c>
      <c r="M91" s="8" t="str">
        <f>IF(B91="","",IF(K91="Transfer",C91,IFERROR(LOOKUP(2,1/($B$2:B90=B91),$M$2:M90),VLOOKUP(B91,Baseline!$A$2:$H$10,5,FALSE))))</f>
        <v/>
      </c>
      <c r="N91" s="6" t="str">
        <f>IF(B91="","",IF(K91="Transfer",0,IFERROR(LOOKUP(2,1/($B$2:B90=B91),$N$2:N90),VLOOKUP(B91,Baseline!$A$2:$H$10,6,FALSE))+IF(K91="Defence",1,0)))</f>
        <v/>
      </c>
      <c r="O91" s="6" t="str">
        <f>IF(B91="","",IFERROR(LOOKUP(2,1/($B$2:B90=B91),$O$2:O90),VLOOKUP(B91,Baseline!$A$2:$H$10,7,FALSE))+IF(K91="Transfer",1,0))</f>
        <v/>
      </c>
      <c r="P91" s="6" t="str">
        <f>IF(B91="","",IFERROR(LOOKUP(2,1/($B$2:B90=B91),$P$2:P90),VLOOKUP(B91,Baseline!$A$2:$H$10,8,FALSE))+IF(K91="Defence",1,0))</f>
        <v/>
      </c>
      <c r="Q91" s="5"/>
      <c r="R91" s="12"/>
    </row>
    <row r="92" spans="1:18">
      <c r="A92" s="6" t="str">
        <f>IF(OR(B92="",C92=""),"",VLOOKUP(B92,Lists!$A$2:$B$10,2,FALSE)&amp;"-"&amp;TEXT(C92,"yyyymmdd")&amp;"-"&amp;TEXT(COUNTIFS($B$2:B92,B92,$C$2:C92,C92),"00"))</f>
        <v/>
      </c>
      <c r="B92" s="5"/>
      <c r="C92" s="7"/>
      <c r="D92" s="5"/>
      <c r="E92" s="5"/>
      <c r="F92" s="5"/>
      <c r="G92" s="5"/>
      <c r="H92" s="10"/>
      <c r="I92" s="5"/>
      <c r="J92" s="6" t="str">
        <f>IF(B92="","",IFERROR(LOOKUP(2,1/($B$2:B91=B92),$L$2:L91),VLOOKUP(B92,Baseline!$A$2:$H$10,4,FALSE)))</f>
        <v/>
      </c>
      <c r="K92" s="6" t="str">
        <f t="shared" si="4"/>
        <v/>
      </c>
      <c r="L92" s="6" t="str">
        <f t="shared" si="5"/>
        <v/>
      </c>
      <c r="M92" s="8" t="str">
        <f>IF(B92="","",IF(K92="Transfer",C92,IFERROR(LOOKUP(2,1/($B$2:B91=B92),$M$2:M91),VLOOKUP(B92,Baseline!$A$2:$H$10,5,FALSE))))</f>
        <v/>
      </c>
      <c r="N92" s="6" t="str">
        <f>IF(B92="","",IF(K92="Transfer",0,IFERROR(LOOKUP(2,1/($B$2:B91=B92),$N$2:N91),VLOOKUP(B92,Baseline!$A$2:$H$10,6,FALSE))+IF(K92="Defence",1,0)))</f>
        <v/>
      </c>
      <c r="O92" s="6" t="str">
        <f>IF(B92="","",IFERROR(LOOKUP(2,1/($B$2:B91=B92),$O$2:O91),VLOOKUP(B92,Baseline!$A$2:$H$10,7,FALSE))+IF(K92="Transfer",1,0))</f>
        <v/>
      </c>
      <c r="P92" s="6" t="str">
        <f>IF(B92="","",IFERROR(LOOKUP(2,1/($B$2:B91=B92),$P$2:P91),VLOOKUP(B92,Baseline!$A$2:$H$10,8,FALSE))+IF(K92="Defence",1,0))</f>
        <v/>
      </c>
      <c r="Q92" s="5"/>
      <c r="R92" s="12"/>
    </row>
    <row r="93" spans="1:18">
      <c r="A93" s="6" t="str">
        <f>IF(OR(B93="",C93=""),"",VLOOKUP(B93,Lists!$A$2:$B$10,2,FALSE)&amp;"-"&amp;TEXT(C93,"yyyymmdd")&amp;"-"&amp;TEXT(COUNTIFS($B$2:B93,B93,$C$2:C93,C93),"00"))</f>
        <v/>
      </c>
      <c r="B93" s="5"/>
      <c r="C93" s="7"/>
      <c r="D93" s="5"/>
      <c r="E93" s="5"/>
      <c r="F93" s="5"/>
      <c r="G93" s="5"/>
      <c r="H93" s="10"/>
      <c r="I93" s="5"/>
      <c r="J93" s="6" t="str">
        <f>IF(B93="","",IFERROR(LOOKUP(2,1/($B$2:B92=B93),$L$2:L92),VLOOKUP(B93,Baseline!$A$2:$H$10,4,FALSE)))</f>
        <v/>
      </c>
      <c r="K93" s="6" t="str">
        <f t="shared" si="4"/>
        <v/>
      </c>
      <c r="L93" s="6" t="str">
        <f t="shared" si="5"/>
        <v/>
      </c>
      <c r="M93" s="8" t="str">
        <f>IF(B93="","",IF(K93="Transfer",C93,IFERROR(LOOKUP(2,1/($B$2:B92=B93),$M$2:M92),VLOOKUP(B93,Baseline!$A$2:$H$10,5,FALSE))))</f>
        <v/>
      </c>
      <c r="N93" s="6" t="str">
        <f>IF(B93="","",IF(K93="Transfer",0,IFERROR(LOOKUP(2,1/($B$2:B92=B93),$N$2:N92),VLOOKUP(B93,Baseline!$A$2:$H$10,6,FALSE))+IF(K93="Defence",1,0)))</f>
        <v/>
      </c>
      <c r="O93" s="6" t="str">
        <f>IF(B93="","",IFERROR(LOOKUP(2,1/($B$2:B92=B93),$O$2:O92),VLOOKUP(B93,Baseline!$A$2:$H$10,7,FALSE))+IF(K93="Transfer",1,0))</f>
        <v/>
      </c>
      <c r="P93" s="6" t="str">
        <f>IF(B93="","",IFERROR(LOOKUP(2,1/($B$2:B92=B93),$P$2:P92),VLOOKUP(B93,Baseline!$A$2:$H$10,8,FALSE))+IF(K93="Defence",1,0))</f>
        <v/>
      </c>
      <c r="Q93" s="5"/>
      <c r="R93" s="12"/>
    </row>
    <row r="94" spans="1:18">
      <c r="A94" s="6" t="str">
        <f>IF(OR(B94="",C94=""),"",VLOOKUP(B94,Lists!$A$2:$B$10,2,FALSE)&amp;"-"&amp;TEXT(C94,"yyyymmdd")&amp;"-"&amp;TEXT(COUNTIFS($B$2:B94,B94,$C$2:C94,C94),"00"))</f>
        <v/>
      </c>
      <c r="B94" s="5"/>
      <c r="C94" s="7"/>
      <c r="D94" s="5"/>
      <c r="E94" s="5"/>
      <c r="F94" s="5"/>
      <c r="G94" s="5"/>
      <c r="H94" s="10"/>
      <c r="I94" s="5"/>
      <c r="J94" s="6" t="str">
        <f>IF(B94="","",IFERROR(LOOKUP(2,1/($B$2:B93=B94),$L$2:L93),VLOOKUP(B94,Baseline!$A$2:$H$10,4,FALSE)))</f>
        <v/>
      </c>
      <c r="K94" s="6" t="str">
        <f t="shared" si="4"/>
        <v/>
      </c>
      <c r="L94" s="6" t="str">
        <f t="shared" si="5"/>
        <v/>
      </c>
      <c r="M94" s="8" t="str">
        <f>IF(B94="","",IF(K94="Transfer",C94,IFERROR(LOOKUP(2,1/($B$2:B93=B94),$M$2:M93),VLOOKUP(B94,Baseline!$A$2:$H$10,5,FALSE))))</f>
        <v/>
      </c>
      <c r="N94" s="6" t="str">
        <f>IF(B94="","",IF(K94="Transfer",0,IFERROR(LOOKUP(2,1/($B$2:B93=B94),$N$2:N93),VLOOKUP(B94,Baseline!$A$2:$H$10,6,FALSE))+IF(K94="Defence",1,0)))</f>
        <v/>
      </c>
      <c r="O94" s="6" t="str">
        <f>IF(B94="","",IFERROR(LOOKUP(2,1/($B$2:B93=B94),$O$2:O93),VLOOKUP(B94,Baseline!$A$2:$H$10,7,FALSE))+IF(K94="Transfer",1,0))</f>
        <v/>
      </c>
      <c r="P94" s="6" t="str">
        <f>IF(B94="","",IFERROR(LOOKUP(2,1/($B$2:B93=B94),$P$2:P93),VLOOKUP(B94,Baseline!$A$2:$H$10,8,FALSE))+IF(K94="Defence",1,0))</f>
        <v/>
      </c>
      <c r="Q94" s="5"/>
      <c r="R94" s="12"/>
    </row>
    <row r="95" spans="1:18">
      <c r="A95" s="6" t="str">
        <f>IF(OR(B95="",C95=""),"",VLOOKUP(B95,Lists!$A$2:$B$10,2,FALSE)&amp;"-"&amp;TEXT(C95,"yyyymmdd")&amp;"-"&amp;TEXT(COUNTIFS($B$2:B95,B95,$C$2:C95,C95),"00"))</f>
        <v/>
      </c>
      <c r="B95" s="5"/>
      <c r="C95" s="7"/>
      <c r="D95" s="5"/>
      <c r="E95" s="5"/>
      <c r="F95" s="5"/>
      <c r="G95" s="5"/>
      <c r="H95" s="10"/>
      <c r="I95" s="5"/>
      <c r="J95" s="6" t="str">
        <f>IF(B95="","",IFERROR(LOOKUP(2,1/($B$2:B94=B95),$L$2:L94),VLOOKUP(B95,Baseline!$A$2:$H$10,4,FALSE)))</f>
        <v/>
      </c>
      <c r="K95" s="6" t="str">
        <f t="shared" si="4"/>
        <v/>
      </c>
      <c r="L95" s="6" t="str">
        <f t="shared" si="5"/>
        <v/>
      </c>
      <c r="M95" s="8" t="str">
        <f>IF(B95="","",IF(K95="Transfer",C95,IFERROR(LOOKUP(2,1/($B$2:B94=B95),$M$2:M94),VLOOKUP(B95,Baseline!$A$2:$H$10,5,FALSE))))</f>
        <v/>
      </c>
      <c r="N95" s="6" t="str">
        <f>IF(B95="","",IF(K95="Transfer",0,IFERROR(LOOKUP(2,1/($B$2:B94=B95),$N$2:N94),VLOOKUP(B95,Baseline!$A$2:$H$10,6,FALSE))+IF(K95="Defence",1,0)))</f>
        <v/>
      </c>
      <c r="O95" s="6" t="str">
        <f>IF(B95="","",IFERROR(LOOKUP(2,1/($B$2:B94=B95),$O$2:O94),VLOOKUP(B95,Baseline!$A$2:$H$10,7,FALSE))+IF(K95="Transfer",1,0))</f>
        <v/>
      </c>
      <c r="P95" s="6" t="str">
        <f>IF(B95="","",IFERROR(LOOKUP(2,1/($B$2:B94=B95),$P$2:P94),VLOOKUP(B95,Baseline!$A$2:$H$10,8,FALSE))+IF(K95="Defence",1,0))</f>
        <v/>
      </c>
      <c r="Q95" s="5"/>
      <c r="R95" s="12"/>
    </row>
    <row r="96" spans="1:18">
      <c r="A96" s="6" t="str">
        <f>IF(OR(B96="",C96=""),"",VLOOKUP(B96,Lists!$A$2:$B$10,2,FALSE)&amp;"-"&amp;TEXT(C96,"yyyymmdd")&amp;"-"&amp;TEXT(COUNTIFS($B$2:B96,B96,$C$2:C96,C96),"00"))</f>
        <v/>
      </c>
      <c r="B96" s="5"/>
      <c r="C96" s="7"/>
      <c r="D96" s="5"/>
      <c r="E96" s="5"/>
      <c r="F96" s="5"/>
      <c r="G96" s="5"/>
      <c r="H96" s="10"/>
      <c r="I96" s="5"/>
      <c r="J96" s="6" t="str">
        <f>IF(B96="","",IFERROR(LOOKUP(2,1/($B$2:B95=B96),$L$2:L95),VLOOKUP(B96,Baseline!$A$2:$H$10,4,FALSE)))</f>
        <v/>
      </c>
      <c r="K96" s="6" t="str">
        <f t="shared" si="4"/>
        <v/>
      </c>
      <c r="L96" s="6" t="str">
        <f t="shared" si="5"/>
        <v/>
      </c>
      <c r="M96" s="8" t="str">
        <f>IF(B96="","",IF(K96="Transfer",C96,IFERROR(LOOKUP(2,1/($B$2:B95=B96),$M$2:M95),VLOOKUP(B96,Baseline!$A$2:$H$10,5,FALSE))))</f>
        <v/>
      </c>
      <c r="N96" s="6" t="str">
        <f>IF(B96="","",IF(K96="Transfer",0,IFERROR(LOOKUP(2,1/($B$2:B95=B96),$N$2:N95),VLOOKUP(B96,Baseline!$A$2:$H$10,6,FALSE))+IF(K96="Defence",1,0)))</f>
        <v/>
      </c>
      <c r="O96" s="6" t="str">
        <f>IF(B96="","",IFERROR(LOOKUP(2,1/($B$2:B95=B96),$O$2:O95),VLOOKUP(B96,Baseline!$A$2:$H$10,7,FALSE))+IF(K96="Transfer",1,0))</f>
        <v/>
      </c>
      <c r="P96" s="6" t="str">
        <f>IF(B96="","",IFERROR(LOOKUP(2,1/($B$2:B95=B96),$P$2:P95),VLOOKUP(B96,Baseline!$A$2:$H$10,8,FALSE))+IF(K96="Defence",1,0))</f>
        <v/>
      </c>
      <c r="Q96" s="5"/>
      <c r="R96" s="12"/>
    </row>
    <row r="97" spans="1:18">
      <c r="A97" s="6" t="str">
        <f>IF(OR(B97="",C97=""),"",VLOOKUP(B97,Lists!$A$2:$B$10,2,FALSE)&amp;"-"&amp;TEXT(C97,"yyyymmdd")&amp;"-"&amp;TEXT(COUNTIFS($B$2:B97,B97,$C$2:C97,C97),"00"))</f>
        <v/>
      </c>
      <c r="B97" s="5"/>
      <c r="C97" s="7"/>
      <c r="D97" s="5"/>
      <c r="E97" s="5"/>
      <c r="F97" s="5"/>
      <c r="G97" s="5"/>
      <c r="H97" s="10"/>
      <c r="I97" s="5"/>
      <c r="J97" s="6" t="str">
        <f>IF(B97="","",IFERROR(LOOKUP(2,1/($B$2:B96=B97),$L$2:L96),VLOOKUP(B97,Baseline!$A$2:$H$10,4,FALSE)))</f>
        <v/>
      </c>
      <c r="K97" s="6" t="str">
        <f t="shared" si="4"/>
        <v/>
      </c>
      <c r="L97" s="6" t="str">
        <f t="shared" si="5"/>
        <v/>
      </c>
      <c r="M97" s="8" t="str">
        <f>IF(B97="","",IF(K97="Transfer",C97,IFERROR(LOOKUP(2,1/($B$2:B96=B97),$M$2:M96),VLOOKUP(B97,Baseline!$A$2:$H$10,5,FALSE))))</f>
        <v/>
      </c>
      <c r="N97" s="6" t="str">
        <f>IF(B97="","",IF(K97="Transfer",0,IFERROR(LOOKUP(2,1/($B$2:B96=B97),$N$2:N96),VLOOKUP(B97,Baseline!$A$2:$H$10,6,FALSE))+IF(K97="Defence",1,0)))</f>
        <v/>
      </c>
      <c r="O97" s="6" t="str">
        <f>IF(B97="","",IFERROR(LOOKUP(2,1/($B$2:B96=B97),$O$2:O96),VLOOKUP(B97,Baseline!$A$2:$H$10,7,FALSE))+IF(K97="Transfer",1,0))</f>
        <v/>
      </c>
      <c r="P97" s="6" t="str">
        <f>IF(B97="","",IFERROR(LOOKUP(2,1/($B$2:B96=B97),$P$2:P96),VLOOKUP(B97,Baseline!$A$2:$H$10,8,FALSE))+IF(K97="Defence",1,0))</f>
        <v/>
      </c>
      <c r="Q97" s="5"/>
      <c r="R97" s="12"/>
    </row>
    <row r="98" spans="1:18">
      <c r="A98" s="6" t="str">
        <f>IF(OR(B98="",C98=""),"",VLOOKUP(B98,Lists!$A$2:$B$10,2,FALSE)&amp;"-"&amp;TEXT(C98,"yyyymmdd")&amp;"-"&amp;TEXT(COUNTIFS($B$2:B98,B98,$C$2:C98,C98),"00"))</f>
        <v/>
      </c>
      <c r="B98" s="5"/>
      <c r="C98" s="7"/>
      <c r="D98" s="5"/>
      <c r="E98" s="5"/>
      <c r="F98" s="5"/>
      <c r="G98" s="5"/>
      <c r="H98" s="10"/>
      <c r="I98" s="5"/>
      <c r="J98" s="6" t="str">
        <f>IF(B98="","",IFERROR(LOOKUP(2,1/($B$2:B97=B98),$L$2:L97),VLOOKUP(B98,Baseline!$A$2:$H$10,4,FALSE)))</f>
        <v/>
      </c>
      <c r="K98" s="6" t="str">
        <f t="shared" si="4"/>
        <v/>
      </c>
      <c r="L98" s="6" t="str">
        <f t="shared" ref="L98:L100" si="6">IF(B98="","",IF(K98="Transfer",D98,J98))</f>
        <v/>
      </c>
      <c r="M98" s="8" t="str">
        <f>IF(B98="","",IF(K98="Transfer",C98,IFERROR(LOOKUP(2,1/($B$2:B97=B98),$M$2:M97),VLOOKUP(B98,Baseline!$A$2:$H$10,5,FALSE))))</f>
        <v/>
      </c>
      <c r="N98" s="6" t="str">
        <f>IF(B98="","",IF(K98="Transfer",0,IFERROR(LOOKUP(2,1/($B$2:B97=B98),$N$2:N97),VLOOKUP(B98,Baseline!$A$2:$H$10,6,FALSE))+IF(K98="Defence",1,0)))</f>
        <v/>
      </c>
      <c r="O98" s="6" t="str">
        <f>IF(B98="","",IFERROR(LOOKUP(2,1/($B$2:B97=B98),$O$2:O97),VLOOKUP(B98,Baseline!$A$2:$H$10,7,FALSE))+IF(K98="Transfer",1,0))</f>
        <v/>
      </c>
      <c r="P98" s="6" t="str">
        <f>IF(B98="","",IFERROR(LOOKUP(2,1/($B$2:B97=B98),$P$2:P97),VLOOKUP(B98,Baseline!$A$2:$H$10,8,FALSE))+IF(K98="Defence",1,0))</f>
        <v/>
      </c>
      <c r="Q98" s="5"/>
      <c r="R98" s="12"/>
    </row>
    <row r="99" spans="1:18">
      <c r="A99" s="6" t="str">
        <f>IF(OR(B99="",C99=""),"",VLOOKUP(B99,Lists!$A$2:$B$10,2,FALSE)&amp;"-"&amp;TEXT(C99,"yyyymmdd")&amp;"-"&amp;TEXT(COUNTIFS($B$2:B99,B99,$C$2:C99,C99),"00"))</f>
        <v/>
      </c>
      <c r="B99" s="5"/>
      <c r="C99" s="7"/>
      <c r="D99" s="5"/>
      <c r="E99" s="5"/>
      <c r="F99" s="5"/>
      <c r="G99" s="5"/>
      <c r="H99" s="10"/>
      <c r="I99" s="5"/>
      <c r="J99" s="6" t="str">
        <f>IF(B99="","",IFERROR(LOOKUP(2,1/($B$2:B98=B99),$L$2:L98),VLOOKUP(B99,Baseline!$A$2:$H$10,4,FALSE)))</f>
        <v/>
      </c>
      <c r="K99" s="6" t="str">
        <f t="shared" si="4"/>
        <v/>
      </c>
      <c r="L99" s="6" t="str">
        <f t="shared" si="6"/>
        <v/>
      </c>
      <c r="M99" s="8" t="str">
        <f>IF(B99="","",IF(K99="Transfer",C99,IFERROR(LOOKUP(2,1/($B$2:B98=B99),$M$2:M98),VLOOKUP(B99,Baseline!$A$2:$H$10,5,FALSE))))</f>
        <v/>
      </c>
      <c r="N99" s="6" t="str">
        <f>IF(B99="","",IF(K99="Transfer",0,IFERROR(LOOKUP(2,1/($B$2:B98=B99),$N$2:N98),VLOOKUP(B99,Baseline!$A$2:$H$10,6,FALSE))+IF(K99="Defence",1,0)))</f>
        <v/>
      </c>
      <c r="O99" s="6" t="str">
        <f>IF(B99="","",IFERROR(LOOKUP(2,1/($B$2:B98=B99),$O$2:O98),VLOOKUP(B99,Baseline!$A$2:$H$10,7,FALSE))+IF(K99="Transfer",1,0))</f>
        <v/>
      </c>
      <c r="P99" s="6" t="str">
        <f>IF(B99="","",IFERROR(LOOKUP(2,1/($B$2:B98=B99),$P$2:P98),VLOOKUP(B99,Baseline!$A$2:$H$10,8,FALSE))+IF(K99="Defence",1,0))</f>
        <v/>
      </c>
      <c r="Q99" s="5"/>
      <c r="R99" s="12"/>
    </row>
    <row r="100" spans="1:18">
      <c r="A100" s="6" t="str">
        <f>IF(OR(B100="",C100=""),"",VLOOKUP(B100,Lists!$A$2:$B$10,2,FALSE)&amp;"-"&amp;TEXT(C100,"yyyymmdd")&amp;"-"&amp;TEXT(COUNTIFS($B$2:B100,B100,$C$2:C100,C100),"00"))</f>
        <v/>
      </c>
      <c r="B100" s="5"/>
      <c r="C100" s="7"/>
      <c r="D100" s="5"/>
      <c r="E100" s="5"/>
      <c r="F100" s="5"/>
      <c r="G100" s="5"/>
      <c r="H100" s="10"/>
      <c r="I100" s="5"/>
      <c r="J100" s="6" t="str">
        <f>IF(B100="","",IFERROR(LOOKUP(2,1/($B$2:B99=B100),$L$2:L99),VLOOKUP(B100,Baseline!$A$2:$H$10,4,FALSE)))</f>
        <v/>
      </c>
      <c r="K100" s="6" t="str">
        <f t="shared" si="4"/>
        <v/>
      </c>
      <c r="L100" s="6" t="str">
        <f t="shared" si="6"/>
        <v/>
      </c>
      <c r="M100" s="8" t="str">
        <f>IF(B100="","",IF(K100="Transfer",C100,IFERROR(LOOKUP(2,1/($B$2:B99=B100),$M$2:M99),VLOOKUP(B100,Baseline!$A$2:$H$10,5,FALSE))))</f>
        <v/>
      </c>
      <c r="N100" s="6" t="str">
        <f>IF(B100="","",IF(K100="Transfer",0,IFERROR(LOOKUP(2,1/($B$2:B99=B100),$N$2:N99),VLOOKUP(B100,Baseline!$A$2:$H$10,6,FALSE))+IF(K100="Defence",1,0)))</f>
        <v/>
      </c>
      <c r="O100" s="6" t="str">
        <f>IF(B100="","",IFERROR(LOOKUP(2,1/($B$2:B99=B100),$O$2:O99),VLOOKUP(B100,Baseline!$A$2:$H$10,7,FALSE))+IF(K100="Transfer",1,0))</f>
        <v/>
      </c>
      <c r="P100" s="6" t="str">
        <f>IF(B100="","",IFERROR(LOOKUP(2,1/($B$2:B99=B100),$P$2:P99),VLOOKUP(B100,Baseline!$A$2:$H$10,8,FALSE))+IF(K100="Defence",1,0))</f>
        <v/>
      </c>
      <c r="Q100" s="5"/>
      <c r="R100" s="12"/>
    </row>
  </sheetData>
  <conditionalFormatting sqref="K2:K100">
    <cfRule type="expression" dxfId="0" priority="1">
      <formula>K2="INVALID — CHECK RESULT TYPE"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Lists!$D$2:$D$6</xm:f>
          </x14:formula1>
          <xm:sqref>F2:F100</xm:sqref>
        </x14:dataValidation>
        <x14:dataValidation type="list" xr:uid="{00000000-0002-0000-0300-000001000000}">
          <x14:formula1>
            <xm:f>Lists!$E$2:$E$5</xm:f>
          </x14:formula1>
          <xm:sqref>G2:G100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/>
  </sheetViews>
  <sheetFormatPr defaultRowHeight="14.25"/>
  <cols>
    <col min="1" max="1" width="30" customWidth="1"/>
    <col min="2" max="8" width="22" customWidth="1"/>
  </cols>
  <sheetData>
    <row r="1" spans="1:8" ht="15">
      <c r="A1" s="1" t="s">
        <v>20</v>
      </c>
      <c r="B1" s="1" t="s">
        <v>99</v>
      </c>
      <c r="C1" s="1" t="s">
        <v>100</v>
      </c>
      <c r="D1" s="1" t="s">
        <v>25</v>
      </c>
      <c r="E1" s="1" t="s">
        <v>26</v>
      </c>
      <c r="F1" s="1" t="s">
        <v>27</v>
      </c>
      <c r="G1" s="1" t="s">
        <v>101</v>
      </c>
      <c r="H1" s="1" t="s">
        <v>102</v>
      </c>
    </row>
    <row r="2" spans="1:8">
      <c r="A2" t="s">
        <v>28</v>
      </c>
      <c r="B2" t="str">
        <f>IFERROR(LOOKUP(2,1/(Updates!$B$2:$B$100=A2),Updates!$L$2:$L$100),VLOOKUP(A2,Baseline!$A$2:$H$10,4,FALSE))</f>
        <v>Australia</v>
      </c>
      <c r="C2" s="4">
        <f>IFERROR(LOOKUP(2,1/(Updates!$B$2:$B$100=A2),Updates!$M$2:$M$100),VLOOKUP(A2,Baseline!$A$2:$H$10,5,FALSE))</f>
        <v>46308</v>
      </c>
      <c r="D2">
        <f>IFERROR(LOOKUP(2,1/(Updates!$B$2:$B$100=A2),Updates!$N$2:$N$100),VLOOKUP(A2,Baseline!$A$2:$H$10,6,FALSE))</f>
        <v>0</v>
      </c>
      <c r="E2">
        <f>IFERROR(LOOKUP(2,1/(Updates!$B$2:$B$100=A2),Updates!$O$2:$O$100),VLOOKUP(A2,Baseline!$A$2:$H$10,7,FALSE))</f>
        <v>215</v>
      </c>
      <c r="F2">
        <f>IFERROR(LOOKUP(2,1/(Updates!$B$2:$B$100=A2),Updates!$P$2:$P$100),VLOOKUP(A2,Baseline!$A$2:$H$10,8,FALSE))</f>
        <v>404</v>
      </c>
      <c r="G2" s="4">
        <f>IFERROR(LOOKUP(2,1/((Updates!$B$2:$B$100=A2)*(Updates!$F$2:$F$100&lt;&gt;"Completed")*(Updates!$F$2:$F$100&lt;&gt;"Cancelled")*(Updates!$F$2:$F$100&lt;&gt;"Postponed")),Updates!$C$2:$C$100),"TBD")</f>
        <v>46313</v>
      </c>
      <c r="H2" t="str">
        <f>IF(G2="TBD","TBD",IFERROR(LOOKUP(2,1/((Updates!$B$2:$B$100=A2)*(Updates!$C$2:$C$100=G2)),Updates!$D$2:$D$100),"TBD"))</f>
        <v>South Africa</v>
      </c>
    </row>
    <row r="3" spans="1:8">
      <c r="A3" t="s">
        <v>32</v>
      </c>
      <c r="B3" t="str">
        <f>IFERROR(LOOKUP(2,1/(Updates!$B$2:$B$100=A3),Updates!$L$2:$L$100),VLOOKUP(A3,Baseline!$A$2:$H$10,4,FALSE))</f>
        <v>Australia</v>
      </c>
      <c r="C3" s="4">
        <f>IFERROR(LOOKUP(2,1/(Updates!$B$2:$B$100=A3),Updates!$M$2:$M$100),VLOOKUP(A3,Baseline!$A$2:$H$10,5,FALSE))</f>
        <v>46089</v>
      </c>
      <c r="D3">
        <f>IFERROR(LOOKUP(2,1/(Updates!$B$2:$B$100=A3),Updates!$N$2:$N$100),VLOOKUP(A3,Baseline!$A$2:$H$10,6,FALSE))</f>
        <v>0</v>
      </c>
      <c r="E3">
        <f>IFERROR(LOOKUP(2,1/(Updates!$B$2:$B$100=A3),Updates!$O$2:$O$100),VLOOKUP(A3,Baseline!$A$2:$H$10,7,FALSE))</f>
        <v>8</v>
      </c>
      <c r="F3">
        <f>IFERROR(LOOKUP(2,1/(Updates!$B$2:$B$100=A3),Updates!$P$2:$P$100),VLOOKUP(A3,Baseline!$A$2:$H$10,8,FALSE))</f>
        <v>74</v>
      </c>
      <c r="G3" s="4">
        <f>IFERROR(LOOKUP(2,1/((Updates!$B$2:$B$100=A3)*(Updates!$F$2:$F$100&lt;&gt;"Completed")*(Updates!$F$2:$F$100&lt;&gt;"Cancelled")*(Updates!$F$2:$F$100&lt;&gt;"Postponed")),Updates!$C$2:$C$100),"TBD")</f>
        <v>46485</v>
      </c>
      <c r="H3" t="str">
        <f>IF(G3="TBD","TBD",IFERROR(LOOKUP(2,1/((Updates!$B$2:$B$100=A3)*(Updates!$C$2:$C$100=G3)),Updates!$D$2:$D$100),"TBD"))</f>
        <v>South Africa</v>
      </c>
    </row>
    <row r="4" spans="1:8">
      <c r="A4" t="s">
        <v>35</v>
      </c>
      <c r="B4" t="str">
        <f>IFERROR(LOOKUP(2,1/(Updates!$B$2:$B$100=A4),Updates!$L$2:$L$100),VLOOKUP(A4,Baseline!$A$2:$H$10,4,FALSE))</f>
        <v>Australia</v>
      </c>
      <c r="C4" s="4">
        <f>IFERROR(LOOKUP(2,1/(Updates!$B$2:$B$100=A4),Updates!$M$2:$M$100),VLOOKUP(A4,Baseline!$A$2:$H$10,5,FALSE))</f>
        <v>46295</v>
      </c>
      <c r="D4">
        <f>IFERROR(LOOKUP(2,1/(Updates!$B$2:$B$100=A4),Updates!$N$2:$N$100),VLOOKUP(A4,Baseline!$A$2:$H$10,6,FALSE))</f>
        <v>0</v>
      </c>
      <c r="E4">
        <f>IFERROR(LOOKUP(2,1/(Updates!$B$2:$B$100=A4),Updates!$O$2:$O$100),VLOOKUP(A4,Baseline!$A$2:$H$10,7,FALSE))</f>
        <v>360</v>
      </c>
      <c r="F4">
        <f>IFERROR(LOOKUP(2,1/(Updates!$B$2:$B$100=A4),Updates!$P$2:$P$100),VLOOKUP(A4,Baseline!$A$2:$H$10,8,FALSE))</f>
        <v>600</v>
      </c>
      <c r="G4" s="4">
        <f>IFERROR(LOOKUP(2,1/((Updates!$B$2:$B$100=A4)*(Updates!$F$2:$F$100&lt;&gt;"Completed")*(Updates!$F$2:$F$100&lt;&gt;"Cancelled")*(Updates!$F$2:$F$100&lt;&gt;"Postponed")),Updates!$C$2:$C$100),"TBD")</f>
        <v>46339</v>
      </c>
      <c r="H4" t="str">
        <f>IF(G4="TBD","TBD",IFERROR(LOOKUP(2,1/((Updates!$B$2:$B$100=A4)*(Updates!$C$2:$C$100=G4)),Updates!$D$2:$D$100),"TBD"))</f>
        <v>England</v>
      </c>
    </row>
    <row r="5" spans="1:8">
      <c r="A5" t="s">
        <v>37</v>
      </c>
      <c r="B5" t="str">
        <f>IFERROR(LOOKUP(2,1/(Updates!$B$2:$B$100=A5),Updates!$L$2:$L$100),VLOOKUP(A5,Baseline!$A$2:$H$10,4,FALSE))</f>
        <v>Australia</v>
      </c>
      <c r="C5" s="4">
        <f>IFERROR(LOOKUP(2,1/(Updates!$B$2:$B$100=A5),Updates!$M$2:$M$100),VLOOKUP(A5,Baseline!$A$2:$H$10,5,FALSE))</f>
        <v>46077</v>
      </c>
      <c r="D5">
        <f>IFERROR(LOOKUP(2,1/(Updates!$B$2:$B$100=A5),Updates!$N$2:$N$100),VLOOKUP(A5,Baseline!$A$2:$H$10,6,FALSE))</f>
        <v>8</v>
      </c>
      <c r="E5">
        <f>IFERROR(LOOKUP(2,1/(Updates!$B$2:$B$100=A5),Updates!$O$2:$O$100),VLOOKUP(A5,Baseline!$A$2:$H$10,7,FALSE))</f>
        <v>120</v>
      </c>
      <c r="F5">
        <f>IFERROR(LOOKUP(2,1/(Updates!$B$2:$B$100=A5),Updates!$P$2:$P$100),VLOOKUP(A5,Baseline!$A$2:$H$10,8,FALSE))</f>
        <v>254</v>
      </c>
      <c r="G5" s="4">
        <f>IFERROR(LOOKUP(2,1/((Updates!$B$2:$B$100=A5)*(Updates!$F$2:$F$100&lt;&gt;"Completed")*(Updates!$F$2:$F$100&lt;&gt;"Cancelled")*(Updates!$F$2:$F$100&lt;&gt;"Postponed")),Updates!$C$2:$C$100),"TBD")</f>
        <v>46371</v>
      </c>
      <c r="H5" t="str">
        <f>IF(G5="TBD","TBD",IFERROR(LOOKUP(2,1/((Updates!$B$2:$B$100=A5)*(Updates!$C$2:$C$100=G5)),Updates!$D$2:$D$100),"TBD"))</f>
        <v>Sri Lanka</v>
      </c>
    </row>
    <row r="6" spans="1:8">
      <c r="A6" t="s">
        <v>39</v>
      </c>
      <c r="B6" t="str">
        <f>IFERROR(LOOKUP(2,1/(Updates!$B$2:$B$100=A6),Updates!$L$2:$L$100),VLOOKUP(A6,Baseline!$A$2:$H$10,4,FALSE))</f>
        <v>Ireland</v>
      </c>
      <c r="C6" s="4">
        <f>IFERROR(LOOKUP(2,1/(Updates!$B$2:$B$100=A6),Updates!$M$2:$M$100),VLOOKUP(A6,Baseline!$A$2:$H$10,5,FALSE))</f>
        <v>46199</v>
      </c>
      <c r="D6">
        <f>IFERROR(LOOKUP(2,1/(Updates!$B$2:$B$100=A6),Updates!$N$2:$N$100),VLOOKUP(A6,Baseline!$A$2:$H$10,6,FALSE))</f>
        <v>1</v>
      </c>
      <c r="E6">
        <f>IFERROR(LOOKUP(2,1/(Updates!$B$2:$B$100=A6),Updates!$O$2:$O$100),VLOOKUP(A6,Baseline!$A$2:$H$10,7,FALSE))</f>
        <v>89</v>
      </c>
      <c r="F6">
        <f>IFERROR(LOOKUP(2,1/(Updates!$B$2:$B$100=A6),Updates!$P$2:$P$100),VLOOKUP(A6,Baseline!$A$2:$H$10,8,FALSE))</f>
        <v>152</v>
      </c>
      <c r="G6" s="4" t="str">
        <f>IFERROR(LOOKUP(2,1/((Updates!$B$2:$B$100=A6)*(Updates!$F$2:$F$100&lt;&gt;"Completed")*(Updates!$F$2:$F$100&lt;&gt;"Cancelled")*(Updates!$F$2:$F$100&lt;&gt;"Postponed")),Updates!$C$2:$C$100),"TBD")</f>
        <v>TBD</v>
      </c>
      <c r="H6" t="str">
        <f>IF(G6="TBD","TBD",IFERROR(LOOKUP(2,1/((Updates!$B$2:$B$100=A6)*(Updates!$C$2:$C$100=G6)),Updates!$D$2:$D$100),"TBD"))</f>
        <v>TBD</v>
      </c>
    </row>
    <row r="7" spans="1:8">
      <c r="A7" t="s">
        <v>42</v>
      </c>
      <c r="B7" t="str">
        <f>IFERROR(LOOKUP(2,1/(Updates!$B$2:$B$100=A7),Updates!$L$2:$L$100),VLOOKUP(A7,Baseline!$A$2:$H$10,4,FALSE))</f>
        <v>Australia</v>
      </c>
      <c r="C7" s="4">
        <f>IFERROR(LOOKUP(2,1/(Updates!$B$2:$B$100=A7),Updates!$M$2:$M$100),VLOOKUP(A7,Baseline!$A$2:$H$10,5,FALSE))</f>
        <v>46186</v>
      </c>
      <c r="D7">
        <f>IFERROR(LOOKUP(2,1/(Updates!$B$2:$B$100=A7),Updates!$N$2:$N$100),VLOOKUP(A7,Baseline!$A$2:$H$10,6,FALSE))</f>
        <v>6</v>
      </c>
      <c r="E7">
        <f>IFERROR(LOOKUP(2,1/(Updates!$B$2:$B$100=A7),Updates!$O$2:$O$100),VLOOKUP(A7,Baseline!$A$2:$H$10,7,FALSE))</f>
        <v>76</v>
      </c>
      <c r="F7">
        <f>IFERROR(LOOKUP(2,1/(Updates!$B$2:$B$100=A7),Updates!$P$2:$P$100),VLOOKUP(A7,Baseline!$A$2:$H$10,8,FALSE))</f>
        <v>139</v>
      </c>
      <c r="G7" s="4">
        <f>IFERROR(LOOKUP(2,1/((Updates!$B$2:$B$100=A7)*(Updates!$F$2:$F$100&lt;&gt;"Completed")*(Updates!$F$2:$F$100&lt;&gt;"Cancelled")*(Updates!$F$2:$F$100&lt;&gt;"Postponed")),Updates!$C$2:$C$100),"TBD")</f>
        <v>46313</v>
      </c>
      <c r="H7" t="str">
        <f>IF(G7="TBD","TBD",IFERROR(LOOKUP(2,1/((Updates!$B$2:$B$100=A7)*(Updates!$C$2:$C$100=G7)),Updates!$D$2:$D$100),"TBD"))</f>
        <v>New Zealand</v>
      </c>
    </row>
    <row r="8" spans="1:8">
      <c r="A8" t="s">
        <v>44</v>
      </c>
      <c r="B8" t="str">
        <f>IFERROR(LOOKUP(2,1/(Updates!$B$2:$B$100=A8),Updates!$L$2:$L$100),VLOOKUP(A8,Baseline!$A$2:$H$10,4,FALSE))</f>
        <v>Royal Challengers Bengaluru</v>
      </c>
      <c r="C8" s="4">
        <f>IFERROR(LOOKUP(2,1/(Updates!$B$2:$B$100=A8),Updates!$M$2:$M$100),VLOOKUP(A8,Baseline!$A$2:$H$10,5,FALSE))</f>
        <v>46173</v>
      </c>
      <c r="D8">
        <f>IFERROR(LOOKUP(2,1/(Updates!$B$2:$B$100=A8),Updates!$N$2:$N$100),VLOOKUP(A8,Baseline!$A$2:$H$10,6,FALSE))</f>
        <v>0</v>
      </c>
      <c r="E8">
        <f>IFERROR(LOOKUP(2,1/(Updates!$B$2:$B$100=A8),Updates!$O$2:$O$100),VLOOKUP(A8,Baseline!$A$2:$H$10,7,FALSE))</f>
        <v>150</v>
      </c>
      <c r="F8">
        <f>IFERROR(LOOKUP(2,1/(Updates!$B$2:$B$100=A8),Updates!$P$2:$P$100),VLOOKUP(A8,Baseline!$A$2:$H$10,8,FALSE))</f>
        <v>125</v>
      </c>
      <c r="G8" s="4" t="str">
        <f>IFERROR(LOOKUP(2,1/((Updates!$B$2:$B$100=A8)*(Updates!$F$2:$F$100&lt;&gt;"Completed")*(Updates!$F$2:$F$100&lt;&gt;"Cancelled")*(Updates!$F$2:$F$100&lt;&gt;"Postponed")),Updates!$C$2:$C$100),"TBD")</f>
        <v>TBD</v>
      </c>
      <c r="H8" t="str">
        <f>IF(G8="TBD","TBD",IFERROR(LOOKUP(2,1/((Updates!$B$2:$B$100=A8)*(Updates!$C$2:$C$100=G8)),Updates!$D$2:$D$100),"TBD"))</f>
        <v>TBD</v>
      </c>
    </row>
    <row r="9" spans="1:8">
      <c r="A9" t="s">
        <v>47</v>
      </c>
      <c r="B9" t="str">
        <f>IFERROR(LOOKUP(2,1/(Updates!$B$2:$B$100=A9),Updates!$L$2:$L$100),VLOOKUP(A9,Baseline!$A$2:$H$10,4,FALSE))</f>
        <v>Bayern München</v>
      </c>
      <c r="C9" s="4">
        <f>IFERROR(LOOKUP(2,1/(Updates!$B$2:$B$100=A9),Updates!$M$2:$M$100),VLOOKUP(A9,Baseline!$A$2:$H$10,5,FALSE))</f>
        <v>46081</v>
      </c>
      <c r="D9">
        <f>IFERROR(LOOKUP(2,1/(Updates!$B$2:$B$100=A9),Updates!$N$2:$N$100),VLOOKUP(A9,Baseline!$A$2:$H$10,6,FALSE))</f>
        <v>11</v>
      </c>
      <c r="E9">
        <f>IFERROR(LOOKUP(2,1/(Updates!$B$2:$B$100=A9),Updates!$O$2:$O$100),VLOOKUP(A9,Baseline!$A$2:$H$10,7,FALSE))</f>
        <v>681</v>
      </c>
      <c r="F9">
        <f>IFERROR(LOOKUP(2,1/(Updates!$B$2:$B$100=A9),Updates!$P$2:$P$100),VLOOKUP(A9,Baseline!$A$2:$H$10,8,FALSE))</f>
        <v>1443</v>
      </c>
      <c r="G9" s="4">
        <f>IFERROR(LOOKUP(2,1/((Updates!$B$2:$B$100=A9)*(Updates!$F$2:$F$100&lt;&gt;"Completed")*(Updates!$F$2:$F$100&lt;&gt;"Cancelled")*(Updates!$F$2:$F$100&lt;&gt;"Postponed")),Updates!$C$2:$C$100),"TBD")</f>
        <v>46269</v>
      </c>
      <c r="H9" t="str">
        <f>IF(G9="TBD","TBD",IFERROR(LOOKUP(2,1/((Updates!$B$2:$B$100=A9)*(Updates!$C$2:$C$100=G9)),Updates!$D$2:$D$100),"TBD"))</f>
        <v>Schalke FC</v>
      </c>
    </row>
    <row r="10" spans="1:8">
      <c r="A10" t="s">
        <v>51</v>
      </c>
      <c r="B10" t="str">
        <f>IFERROR(LOOKUP(2,1/(Updates!$B$2:$B$100=A10),Updates!$L$2:$L$100),VLOOKUP(A10,Baseline!$A$2:$H$10,4,FALSE))</f>
        <v>Bayern München</v>
      </c>
      <c r="C10" s="4">
        <f>IFERROR(LOOKUP(2,1/(Updates!$B$2:$B$100=A10),Updates!$M$2:$M$100),VLOOKUP(A10,Baseline!$A$2:$H$10,5,FALSE))</f>
        <v>45730</v>
      </c>
      <c r="D10">
        <f>IFERROR(LOOKUP(2,1/(Updates!$B$2:$B$100=A10),Updates!$N$2:$N$100),VLOOKUP(A10,Baseline!$A$2:$H$10,6,FALSE))</f>
        <v>32</v>
      </c>
      <c r="E10">
        <f>IFERROR(LOOKUP(2,1/(Updates!$B$2:$B$100=A10),Updates!$O$2:$O$100),VLOOKUP(A10,Baseline!$A$2:$H$10,7,FALSE))</f>
        <v>113</v>
      </c>
      <c r="F10">
        <f>IFERROR(LOOKUP(2,1/(Updates!$B$2:$B$100=A10),Updates!$P$2:$P$100),VLOOKUP(A10,Baseline!$A$2:$H$10,8,FALSE))</f>
        <v>655</v>
      </c>
      <c r="G10" s="4">
        <f>IFERROR(LOOKUP(2,1/((Updates!$B$2:$B$100=A10)*(Updates!$F$2:$F$100&lt;&gt;"Completed")*(Updates!$F$2:$F$100&lt;&gt;"Cancelled")*(Updates!$F$2:$F$100&lt;&gt;"Postponed")),Updates!$C$2:$C$100),"TBD")</f>
        <v>46265</v>
      </c>
      <c r="H10" t="str">
        <f>IF(G10="TBD","TBD",IFERROR(LOOKUP(2,1/((Updates!$B$2:$B$100=A10)*(Updates!$C$2:$C$100=G10)),Updates!$D$2:$D$100),"TBD"))</f>
        <v>1. FSV Mainz 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/>
  </sheetViews>
  <sheetFormatPr defaultRowHeight="14.25"/>
  <cols>
    <col min="1" max="1" width="30" customWidth="1"/>
    <col min="2" max="8" width="22" customWidth="1"/>
  </cols>
  <sheetData>
    <row r="1" spans="1:8" ht="1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 t="str">
        <f>Dashboard!A2</f>
        <v>Charles Bannerman Belt</v>
      </c>
      <c r="B2" t="str">
        <f>Dashboard!B2</f>
        <v>Australia</v>
      </c>
      <c r="C2" s="9">
        <f>Dashboard!C2</f>
        <v>46308</v>
      </c>
      <c r="D2">
        <f>Dashboard!D2</f>
        <v>0</v>
      </c>
      <c r="E2">
        <f>Dashboard!E2</f>
        <v>215</v>
      </c>
      <c r="F2">
        <f>Dashboard!F2</f>
        <v>404</v>
      </c>
      <c r="G2" s="9">
        <f>Dashboard!G2</f>
        <v>46313</v>
      </c>
      <c r="H2" t="str">
        <f>Dashboard!H2</f>
        <v>South Africa</v>
      </c>
    </row>
    <row r="3" spans="1:8">
      <c r="A3" t="str">
        <f>Dashboard!A3</f>
        <v>Myrtle Maclagan Medal</v>
      </c>
      <c r="B3" t="str">
        <f>Dashboard!B3</f>
        <v>Australia</v>
      </c>
      <c r="C3" s="9">
        <f>Dashboard!C3</f>
        <v>46089</v>
      </c>
      <c r="D3">
        <f>Dashboard!D3</f>
        <v>0</v>
      </c>
      <c r="E3">
        <f>Dashboard!E3</f>
        <v>8</v>
      </c>
      <c r="F3">
        <f>Dashboard!F3</f>
        <v>74</v>
      </c>
      <c r="G3" s="9">
        <f>Dashboard!G3</f>
        <v>46485</v>
      </c>
      <c r="H3" t="str">
        <f>Dashboard!H3</f>
        <v>South Africa</v>
      </c>
    </row>
    <row r="4" spans="1:8">
      <c r="A4" t="str">
        <f>Dashboard!A4</f>
        <v>John Edrich Jug</v>
      </c>
      <c r="B4" t="str">
        <f>Dashboard!B4</f>
        <v>Australia</v>
      </c>
      <c r="C4" s="9">
        <f>Dashboard!C4</f>
        <v>46295</v>
      </c>
      <c r="D4">
        <f>Dashboard!D4</f>
        <v>0</v>
      </c>
      <c r="E4">
        <f>Dashboard!E4</f>
        <v>360</v>
      </c>
      <c r="F4">
        <f>Dashboard!F4</f>
        <v>600</v>
      </c>
      <c r="G4" s="9">
        <f>Dashboard!G4</f>
        <v>46339</v>
      </c>
      <c r="H4" t="str">
        <f>Dashboard!H4</f>
        <v>England</v>
      </c>
    </row>
    <row r="5" spans="1:8">
      <c r="A5" t="str">
        <f>Dashboard!A5</f>
        <v>Tina Macpherson Trophy</v>
      </c>
      <c r="B5" t="str">
        <f>Dashboard!B5</f>
        <v>Australia</v>
      </c>
      <c r="C5" s="9">
        <f>Dashboard!C5</f>
        <v>46077</v>
      </c>
      <c r="D5">
        <f>Dashboard!D5</f>
        <v>8</v>
      </c>
      <c r="E5">
        <f>Dashboard!E5</f>
        <v>120</v>
      </c>
      <c r="F5">
        <f>Dashboard!F5</f>
        <v>254</v>
      </c>
      <c r="G5" s="9">
        <f>Dashboard!G5</f>
        <v>46371</v>
      </c>
      <c r="H5" t="str">
        <f>Dashboard!H5</f>
        <v>Sri Lanka</v>
      </c>
    </row>
    <row r="6" spans="1:8">
      <c r="A6" t="str">
        <f>Dashboard!A6</f>
        <v>Ricky Ponting Ribbon</v>
      </c>
      <c r="B6" t="str">
        <f>Dashboard!B6</f>
        <v>Ireland</v>
      </c>
      <c r="C6" s="9">
        <f>Dashboard!C6</f>
        <v>46199</v>
      </c>
      <c r="D6">
        <f>Dashboard!D6</f>
        <v>1</v>
      </c>
      <c r="E6">
        <f>Dashboard!E6</f>
        <v>89</v>
      </c>
      <c r="F6">
        <f>Dashboard!F6</f>
        <v>152</v>
      </c>
      <c r="G6" s="9" t="str">
        <f>Dashboard!G6</f>
        <v>TBD</v>
      </c>
      <c r="H6" t="str">
        <f>Dashboard!H6</f>
        <v>TBD</v>
      </c>
    </row>
    <row r="7" spans="1:8">
      <c r="A7" t="str">
        <f>Dashboard!A7</f>
        <v>Rebecca Rolls Ribbon</v>
      </c>
      <c r="B7" t="str">
        <f>Dashboard!B7</f>
        <v>Australia</v>
      </c>
      <c r="C7" s="9">
        <f>Dashboard!C7</f>
        <v>46186</v>
      </c>
      <c r="D7">
        <f>Dashboard!D7</f>
        <v>6</v>
      </c>
      <c r="E7">
        <f>Dashboard!E7</f>
        <v>76</v>
      </c>
      <c r="F7">
        <f>Dashboard!F7</f>
        <v>139</v>
      </c>
      <c r="G7" s="9">
        <f>Dashboard!G7</f>
        <v>46313</v>
      </c>
      <c r="H7" t="str">
        <f>Dashboard!H7</f>
        <v>New Zealand</v>
      </c>
    </row>
    <row r="8" spans="1:8">
      <c r="A8" t="str">
        <f>Dashboard!A8</f>
        <v>Yusuf Pathan Plate</v>
      </c>
      <c r="B8" t="str">
        <f>Dashboard!B8</f>
        <v>Royal Challengers Bengaluru</v>
      </c>
      <c r="C8" s="9">
        <f>Dashboard!C8</f>
        <v>46173</v>
      </c>
      <c r="D8">
        <f>Dashboard!D8</f>
        <v>0</v>
      </c>
      <c r="E8">
        <f>Dashboard!E8</f>
        <v>150</v>
      </c>
      <c r="F8">
        <f>Dashboard!F8</f>
        <v>125</v>
      </c>
      <c r="G8" s="9" t="str">
        <f>Dashboard!G8</f>
        <v>TBD</v>
      </c>
      <c r="H8" t="str">
        <f>Dashboard!H8</f>
        <v>TBD</v>
      </c>
    </row>
    <row r="9" spans="1:8">
      <c r="A9" t="str">
        <f>Dashboard!A9</f>
        <v>Uwe Seeler Trophy</v>
      </c>
      <c r="B9" t="str">
        <f>Dashboard!B9</f>
        <v>Bayern München</v>
      </c>
      <c r="C9" s="9">
        <f>Dashboard!C9</f>
        <v>46081</v>
      </c>
      <c r="D9">
        <f>Dashboard!D9</f>
        <v>11</v>
      </c>
      <c r="E9">
        <f>Dashboard!E9</f>
        <v>681</v>
      </c>
      <c r="F9">
        <f>Dashboard!F9</f>
        <v>1443</v>
      </c>
      <c r="G9" s="9">
        <f>Dashboard!G9</f>
        <v>46269</v>
      </c>
      <c r="H9" t="str">
        <f>Dashboard!H9</f>
        <v>Schalke FC</v>
      </c>
    </row>
    <row r="10" spans="1:8">
      <c r="A10" t="str">
        <f>Dashboard!A10</f>
        <v>Heidi Mohr Pott</v>
      </c>
      <c r="B10" t="str">
        <f>Dashboard!B10</f>
        <v>Bayern München</v>
      </c>
      <c r="C10" s="9">
        <f>Dashboard!C10</f>
        <v>45730</v>
      </c>
      <c r="D10">
        <f>Dashboard!D10</f>
        <v>32</v>
      </c>
      <c r="E10">
        <f>Dashboard!E10</f>
        <v>113</v>
      </c>
      <c r="F10">
        <f>Dashboard!F10</f>
        <v>655</v>
      </c>
      <c r="G10" s="9">
        <f>Dashboard!G10</f>
        <v>46265</v>
      </c>
      <c r="H10" t="str">
        <f>Dashboard!H10</f>
        <v>1. FSV Mainz 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Baseline</vt:lpstr>
      <vt:lpstr>Lists</vt:lpstr>
      <vt:lpstr>Updates</vt:lpstr>
      <vt:lpstr>Dashboard</vt:lpstr>
      <vt:lpstr>Website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</dc:creator>
  <cp:lastModifiedBy>C Hariharan</cp:lastModifiedBy>
  <dcterms:created xsi:type="dcterms:W3CDTF">2026-09-15T15:38:13Z</dcterms:created>
  <dcterms:modified xsi:type="dcterms:W3CDTF">2026-10-15T06:29:02Z</dcterms:modified>
</cp:coreProperties>
</file>