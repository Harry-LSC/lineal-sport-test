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"/>
    </mc:Choice>
  </mc:AlternateContent>
  <xr:revisionPtr revIDLastSave="0" documentId="13_ncr:1_{F7187EA3-C3B5-4C4E-9677-E82F2F8E6A3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G2" i="5"/>
  <c r="G2" i="6" s="1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P11" i="4"/>
  <c r="O11" i="4"/>
  <c r="N11" i="4"/>
  <c r="M11" i="4"/>
  <c r="L11" i="4"/>
  <c r="K11" i="4"/>
  <c r="J11" i="4"/>
  <c r="A11" i="4"/>
  <c r="P10" i="4"/>
  <c r="O10" i="4"/>
  <c r="N10" i="4"/>
  <c r="M10" i="4"/>
  <c r="L10" i="4"/>
  <c r="K10" i="4"/>
  <c r="J10" i="4"/>
  <c r="A10" i="4"/>
  <c r="K9" i="4"/>
  <c r="A9" i="4"/>
  <c r="K8" i="4"/>
  <c r="P8" i="4" s="1"/>
  <c r="F10" i="5" s="1"/>
  <c r="F10" i="6" s="1"/>
  <c r="J8" i="4"/>
  <c r="A8" i="4"/>
  <c r="K7" i="4"/>
  <c r="P7" i="4" s="1"/>
  <c r="P9" i="4" s="1"/>
  <c r="F9" i="5" s="1"/>
  <c r="F9" i="6" s="1"/>
  <c r="J7" i="4"/>
  <c r="A7" i="4"/>
  <c r="K6" i="4"/>
  <c r="M6" i="4" s="1"/>
  <c r="C7" i="5" s="1"/>
  <c r="C7" i="6" s="1"/>
  <c r="J6" i="4"/>
  <c r="L6" i="4" s="1"/>
  <c r="B7" i="5" s="1"/>
  <c r="B7" i="6" s="1"/>
  <c r="A6" i="4"/>
  <c r="K5" i="4"/>
  <c r="P5" i="4" s="1"/>
  <c r="F5" i="5" s="1"/>
  <c r="F5" i="6" s="1"/>
  <c r="J5" i="4"/>
  <c r="A5" i="4"/>
  <c r="K4" i="4"/>
  <c r="P4" i="4" s="1"/>
  <c r="J4" i="4"/>
  <c r="A4" i="4"/>
  <c r="K3" i="4"/>
  <c r="P3" i="4" s="1"/>
  <c r="J3" i="4"/>
  <c r="A3" i="4"/>
  <c r="O2" i="4"/>
  <c r="E2" i="5" s="1"/>
  <c r="E2" i="6" s="1"/>
  <c r="M2" i="4"/>
  <c r="C2" i="5" s="1"/>
  <c r="C2" i="6" s="1"/>
  <c r="K2" i="4"/>
  <c r="P2" i="4" s="1"/>
  <c r="F2" i="5" s="1"/>
  <c r="F2" i="6" s="1"/>
  <c r="J2" i="4"/>
  <c r="A2" i="4"/>
  <c r="O8" i="4" l="1"/>
  <c r="E10" i="5" s="1"/>
  <c r="E10" i="6" s="1"/>
  <c r="O6" i="4"/>
  <c r="E7" i="5" s="1"/>
  <c r="E7" i="6" s="1"/>
  <c r="N6" i="4"/>
  <c r="D7" i="5" s="1"/>
  <c r="D7" i="6" s="1"/>
  <c r="P6" i="4"/>
  <c r="F7" i="5" s="1"/>
  <c r="F7" i="6" s="1"/>
  <c r="F4" i="5"/>
  <c r="F4" i="6" s="1"/>
  <c r="O5" i="4"/>
  <c r="E5" i="5" s="1"/>
  <c r="E5" i="6" s="1"/>
  <c r="F3" i="5"/>
  <c r="F3" i="6" s="1"/>
  <c r="H4" i="5"/>
  <c r="H4" i="6" s="1"/>
  <c r="L3" i="4"/>
  <c r="B3" i="5" s="1"/>
  <c r="B3" i="6" s="1"/>
  <c r="M3" i="4"/>
  <c r="C3" i="5" s="1"/>
  <c r="C3" i="6" s="1"/>
  <c r="N3" i="4"/>
  <c r="D3" i="5" s="1"/>
  <c r="D3" i="6" s="1"/>
  <c r="H2" i="5"/>
  <c r="H2" i="6" s="1"/>
  <c r="O3" i="4"/>
  <c r="E3" i="5" s="1"/>
  <c r="E3" i="6" s="1"/>
  <c r="L2" i="4"/>
  <c r="B2" i="5" s="1"/>
  <c r="B2" i="6" s="1"/>
  <c r="L5" i="4"/>
  <c r="B5" i="5" s="1"/>
  <c r="B5" i="6" s="1"/>
  <c r="L8" i="4"/>
  <c r="B10" i="5" s="1"/>
  <c r="B10" i="6" s="1"/>
  <c r="H5" i="5"/>
  <c r="H5" i="6" s="1"/>
  <c r="M5" i="4"/>
  <c r="C5" i="5" s="1"/>
  <c r="C5" i="6" s="1"/>
  <c r="M8" i="4"/>
  <c r="C10" i="5" s="1"/>
  <c r="C10" i="6" s="1"/>
  <c r="N2" i="4"/>
  <c r="D2" i="5" s="1"/>
  <c r="D2" i="6" s="1"/>
  <c r="N5" i="4"/>
  <c r="D5" i="5" s="1"/>
  <c r="D5" i="6" s="1"/>
  <c r="N8" i="4"/>
  <c r="D10" i="5" s="1"/>
  <c r="D10" i="6" s="1"/>
  <c r="H7" i="5"/>
  <c r="H7" i="6" s="1"/>
  <c r="G3" i="6"/>
  <c r="G6" i="6"/>
  <c r="G9" i="6"/>
  <c r="L4" i="4"/>
  <c r="B4" i="5" s="1"/>
  <c r="B4" i="6" s="1"/>
  <c r="L7" i="4"/>
  <c r="J9" i="4" s="1"/>
  <c r="L9" i="4" s="1"/>
  <c r="B9" i="5" s="1"/>
  <c r="B9" i="6" s="1"/>
  <c r="M4" i="4"/>
  <c r="C4" i="5" s="1"/>
  <c r="C4" i="6" s="1"/>
  <c r="M7" i="4"/>
  <c r="M9" i="4" s="1"/>
  <c r="C9" i="5" s="1"/>
  <c r="C9" i="6" s="1"/>
  <c r="N4" i="4"/>
  <c r="D4" i="5" s="1"/>
  <c r="D4" i="6" s="1"/>
  <c r="G8" i="6"/>
  <c r="N7" i="4"/>
  <c r="N9" i="4" s="1"/>
  <c r="D9" i="5" s="1"/>
  <c r="D9" i="6" s="1"/>
  <c r="O4" i="4"/>
  <c r="E4" i="5" s="1"/>
  <c r="E4" i="6" s="1"/>
  <c r="O7" i="4"/>
  <c r="O9" i="4" s="1"/>
  <c r="E9" i="5" s="1"/>
  <c r="E9" i="6" s="1"/>
  <c r="G10" i="6"/>
</calcChain>
</file>

<file path=xl/sharedStrings.xml><?xml version="1.0" encoding="utf-8"?>
<sst xmlns="http://schemas.openxmlformats.org/spreadsheetml/2006/main" count="173" uniqueCount="117">
  <si>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</si>
  <si>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</si>
  <si>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</si>
  <si>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</si>
  <si>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</si>
  <si>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</si>
  <si>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</si>
  <si>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</si>
  <si>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</si>
  <si>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</si>
  <si>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</si>
  <si>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</si>
  <si>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</si>
  <si>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</si>
  <si>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</si>
  <si>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</si>
  <si>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</si>
  <si>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</si>
  <si>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</si>
  <si>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</si>
  <si>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</si>
  <si>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</si>
  <si>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</si>
  <si>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</si>
  <si>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</si>
  <si>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</si>
  <si>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</si>
  <si>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</si>
  <si>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</si>
  <si>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</si>
  <si>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</si>
  <si>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</si>
  <si>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</si>
  <si>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</si>
  <si>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</si>
  <si>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</si>
  <si>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</si>
  <si>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</si>
  <si>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</si>
  <si>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</si>
  <si>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</si>
  <si>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</si>
  <si>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</si>
  <si>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</si>
  <si>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</si>
  <si>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</si>
  <si>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</si>
  <si>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</si>
  <si>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</si>
  <si>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</si>
  <si>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</si>
  <si>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</si>
  <si>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</si>
  <si>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</si>
  <si>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</si>
  <si>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</si>
  <si>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</si>
  <si>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</si>
  <si>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</si>
  <si>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</si>
  <si>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</si>
  <si>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</si>
  <si>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</si>
  <si>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</si>
  <si>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</si>
  <si>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</si>
  <si>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</si>
  <si>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</si>
  <si>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</si>
  <si>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</si>
  <si>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</si>
  <si>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</si>
  <si>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</si>
  <si>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</si>
  <si>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</si>
  <si>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</si>
  <si>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</si>
  <si>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</si>
  <si>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</si>
  <si>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</si>
  <si>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</si>
  <si>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</si>
  <si>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</si>
  <si>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</si>
  <si>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</si>
  <si>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</si>
  <si>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</si>
  <si>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</si>
  <si>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</si>
  <si>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24–27 June 2027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</si>
  <si>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</si>
  <si>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</si>
  <si>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</si>
  <si>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</si>
  <si>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</si>
  <si>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</si>
  <si>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</si>
  <si>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</si>
  <si>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</si>
  <si>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</si>
  <si>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</si>
  <si>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</si>
  <si>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</si>
  <si>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</si>
  <si>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</si>
  <si>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</si>
  <si>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</si>
  <si>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</si>
  <si>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</si>
  <si>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</si>
  <si>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</si>
  <si>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</si>
  <si>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</si>
  <si>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</si>
  <si>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</si>
  <si>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</si>
  <si>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>Senwes Park, Potchesfstroom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</si>
</sst>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991B1B"/>
      </font>
      <fill>
        <patternFill patternType="solid"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112</v>
      </c>
      <c r="B9" s="3" t="s">
        <v>113</v>
      </c>
      <c r="C9" s="3" t="s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172</v>
      </c>
      <c r="H2">
        <v>270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98"/>
  <sheetViews>
    <sheetView tabSelected="1" workbookViewId="0">
      <selection activeCell="F4" sqref="F4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115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57</v>
      </c>
      <c r="G2" s="5"/>
      <c r="H2" s="10"/>
      <c r="I2" s="5"/>
      <c r="J2" s="6" t="str">
        <f>IF(B2="","",VLOOKUP(B2,Baseline!$A$2:$H$10,4,FALSE))</f>
        <v>South Africa</v>
      </c>
      <c r="K2" s="6" t="str">
        <f t="shared" ref="K2:K31" si="0">IF(B2="","",IF(F2&lt;&gt;"Completed",F2,IF(G2="Challenger win","Transfer",IF(OR(G2="Holder win",G2="Draw / tie"),"Defence",IF(G2="No result","No result","INVALID — CHECK RESULT TYPE")))))</f>
        <v>Scheduled</v>
      </c>
      <c r="L2" s="6" t="str">
        <f t="shared" ref="L2:L31" si="1">IF(B2="","",IF(K2="INVALID — CHECK RESULT TYPE","",IF(K2="Transfer",D2,J2)))</f>
        <v>South Africa</v>
      </c>
      <c r="M2" s="8">
        <f>IF(B2="","",IF(K2="INVALID — CHECK RESULT TYPE","",IF(K2="Transfer",IF(R2&lt;&gt;"",R2,C2),VLOOKUP(B2,Baseline!$A$2:$H$10,5,FALSE))))</f>
        <v>45953</v>
      </c>
      <c r="N2" s="6">
        <f>IF(B2="","",IF(K2="INVALID — CHECK RESULT TYPE","",IF(K2="Transfer",0,VLOOKUP(B2,Baseline!$A$2:$H$10,6,FALSE)+IF(K2="Defence",1,0))))</f>
        <v>2</v>
      </c>
      <c r="O2" s="6">
        <f>IF(B2="","",IF(K2="INVALID — CHECK RESULT TYPE","",VLOOKUP(B2,Baseline!$A$2:$H$10,7,FALSE)+IF(K2="Transfer",1,0)))</f>
        <v>172</v>
      </c>
      <c r="P2" s="6">
        <f>IF(B2="","",IF(K2="INVALID — CHECK RESULT TYPE","",VLOOKUP(B2,Baseline!$A$2:$H$10,8,FALSE)+IF(K2="Defence",1,0)))</f>
        <v>270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MMM-20270408-01</v>
      </c>
      <c r="B3" s="5" t="s">
        <v>32</v>
      </c>
      <c r="C3" s="7">
        <v>46485</v>
      </c>
      <c r="D3" s="5" t="s">
        <v>31</v>
      </c>
      <c r="E3" s="5" t="s">
        <v>116</v>
      </c>
      <c r="F3" s="5" t="s">
        <v>57</v>
      </c>
      <c r="G3" s="5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IF(B3="","",IF(K3="INVALID — CHECK RESULT TYPE","",IF(K3="Transfer",IF(R3&lt;&gt;"",R3,C3),IFERROR(LOOKUP(2,1/($B$2:B2=B3),$M$2:M2),VLOOKUP(B3,Baseline!$A$2:$H$10,5,FALSE)))))</f>
        <v>46089</v>
      </c>
      <c r="N3" s="6">
        <f>IF(B3="","",IF(K3="INVALID — CHECK RESULT TYPE","",IF(K3="Transfer",0,IFERROR(LOOKUP(2,1/($B$2:B2=B3),$N$2:N2),VLOOKUP(B3,Baseline!$A$2:$H$10,6,FALSE))+IF(K3="Defence",1,0))))</f>
        <v>0</v>
      </c>
      <c r="O3" s="6">
        <f>IF(B3="","",IF(K3="INVALID — CHECK RESULT TYPE","",IFERROR(LOOKUP(2,1/($B$2:B2=B3),$O$2:O2),VLOOKUP(B3,Baseline!$A$2:$H$10,7,FALSE))+IF(K3="Transfer",1,0)))</f>
        <v>8</v>
      </c>
      <c r="P3" s="6">
        <f>IF(B3="","",IF(K3="INVALID — CHECK RESULT TYPE","",IFERROR(LOOKUP(2,1/($B$2:B2=B3),$P$2:P2),VLOOKUP(B3,Baseline!$A$2:$H$10,8,FALSE))+IF(K3="Defence",1,0)))</f>
        <v>4</v>
      </c>
      <c r="Q3" s="5" t="s">
        <v>89</v>
      </c>
      <c r="R3" s="12">
        <v>46488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90</v>
      </c>
      <c r="E4" s="5" t="s">
        <v>91</v>
      </c>
      <c r="F4" s="5" t="s">
        <v>57</v>
      </c>
      <c r="G4" s="5"/>
      <c r="H4" s="10"/>
      <c r="I4" s="5"/>
      <c r="J4" s="6" t="str">
        <f>IF(B4="","",IFERROR(LOOKUP(2,1/($B$2:B3=B4),$L$2:L3),VLOOKUP(B4,Baseline!$A$2:$H$10,4,FALSE)))</f>
        <v>Australia</v>
      </c>
      <c r="K4" s="6" t="str">
        <f t="shared" si="0"/>
        <v>Scheduled</v>
      </c>
      <c r="L4" s="6" t="str">
        <f t="shared" si="1"/>
        <v>Australia</v>
      </c>
      <c r="M4" s="8">
        <f>IF(B4="","",IF(K4="INVALID — CHECK RESULT TYPE","",IF(K4="Transfer",IF(R4&lt;&gt;"",R4,C4),IFERROR(LOOKUP(2,1/($B$2:B3=B4),$M$2:M3),VLOOKUP(B4,Baseline!$A$2:$H$10,5,FALSE)))))</f>
        <v>46187</v>
      </c>
      <c r="N4" s="6">
        <f>IF(B4="","",IF(K4="INVALID — CHECK RESULT TYPE","",IF(K4="Transfer",0,IFERROR(LOOKUP(2,1/($B$2:B3=B4),$N$2:N3),VLOOKUP(B4,Baseline!$A$2:$H$10,6,FALSE))+IF(K4="Defence",1,0))))</f>
        <v>0</v>
      </c>
      <c r="O4" s="6">
        <f>IF(B4="","",IF(K4="INVALID — CHECK RESULT TYPE","",IFERROR(LOOKUP(2,1/($B$2:B3=B4),$O$2:O3),VLOOKUP(B4,Baseline!$A$2:$H$10,7,FALSE))+IF(K4="Transfer",1,0)))</f>
        <v>358</v>
      </c>
      <c r="P4" s="6">
        <f>IF(B4="","",IF(K4="INVALID — CHECK RESULT TYPE","",IFERROR(LOOKUP(2,1/($B$2:B3=B4),$P$2:P3),VLOOKUP(B4,Baseline!$A$2:$H$10,8,FALSE))+IF(K4="Defence",1,0)))</f>
        <v>596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92</v>
      </c>
      <c r="E5" s="5" t="s">
        <v>93</v>
      </c>
      <c r="F5" s="5" t="s">
        <v>57</v>
      </c>
      <c r="G5" s="5"/>
      <c r="H5" s="10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IF(B5="","",IF(K5="INVALID — CHECK RESULT TYPE","",IF(K5="Transfer",IF(R5&lt;&gt;"",R5,C5),IFERROR(LOOKUP(2,1/($B$2:B4=B5),$M$2:M4),VLOOKUP(B5,Baseline!$A$2:$H$10,5,FALSE)))))</f>
        <v>46077</v>
      </c>
      <c r="N5" s="6">
        <f>IF(B5="","",IF(K5="INVALID — CHECK RESULT TYPE","",IF(K5="Transfer",0,IFERROR(LOOKUP(2,1/($B$2:B4=B5),$N$2:N4),VLOOKUP(B5,Baseline!$A$2:$H$10,6,FALSE))+IF(K5="Defence",1,0))))</f>
        <v>5</v>
      </c>
      <c r="O5" s="6">
        <f>IF(B5="","",IF(K5="INVALID — CHECK RESULT TYPE","",IFERROR(LOOKUP(2,1/($B$2:B4=B5),$O$2:O4),VLOOKUP(B5,Baseline!$A$2:$H$10,7,FALSE))+IF(K5="Transfer",1,0)))</f>
        <v>120</v>
      </c>
      <c r="P5" s="6">
        <f>IF(B5="","",IF(K5="INVALID — CHECK RESULT TYPE","",IFERROR(LOOKUP(2,1/($B$2:B4=B5),$P$2:P4),VLOOKUP(B5,Baseline!$A$2:$H$10,8,FALSE))+IF(K5="Defence",1,0)))</f>
        <v>251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94</v>
      </c>
      <c r="E6" s="5" t="s">
        <v>95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IF(B6="","",IF(K6="INVALID — CHECK RESULT TYPE","",IF(K6="Transfer",IF(R6&lt;&gt;"",R6,C6),IFERROR(LOOKUP(2,1/($B$2:B5=B6),$M$2:M5),VLOOKUP(B6,Baseline!$A$2:$H$10,5,FALSE)))))</f>
        <v>46186</v>
      </c>
      <c r="N6" s="6">
        <f>IF(B6="","",IF(K6="INVALID — CHECK RESULT TYPE","",IF(K6="Transfer",0,IFERROR(LOOKUP(2,1/($B$2:B5=B6),$N$2:N5),VLOOKUP(B6,Baseline!$A$2:$H$10,6,FALSE))+IF(K6="Defence",1,0))))</f>
        <v>6</v>
      </c>
      <c r="O6" s="6">
        <f>IF(B6="","",IF(K6="INVALID — CHECK RESULT TYPE","",IFERROR(LOOKUP(2,1/($B$2:B5=B6),$O$2:O5),VLOOKUP(B6,Baseline!$A$2:$H$10,7,FALSE))+IF(K6="Transfer",1,0)))</f>
        <v>76</v>
      </c>
      <c r="P6" s="6">
        <f>IF(B6="","",IF(K6="INVALID — CHECK RESULT TYPE","",IFERROR(LOOKUP(2,1/($B$2:B5=B6),$P$2:P5),VLOOKUP(B6,Baseline!$A$2:$H$10,8,FALSE))+IF(K6="Defence",1,0)))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96</v>
      </c>
      <c r="E7" s="5"/>
      <c r="F7" s="5" t="s">
        <v>63</v>
      </c>
      <c r="G7" s="5" t="s">
        <v>58</v>
      </c>
      <c r="H7" s="11" t="s">
        <v>97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IF(B7="","",IF(K7="INVALID — CHECK RESULT TYPE","",IF(K7="Transfer",IF(R7&lt;&gt;"",R7,C7),IFERROR(LOOKUP(2,1/($B$2:B6=B7),$M$2:M6),VLOOKUP(B7,Baseline!$A$2:$H$10,5,FALSE)))))</f>
        <v>46081</v>
      </c>
      <c r="N7" s="6">
        <f>IF(B7="","",IF(K7="INVALID — CHECK RESULT TYPE","",IF(K7="Transfer",0,IFERROR(LOOKUP(2,1/($B$2:B6=B7),$N$2:N6),VLOOKUP(B7,Baseline!$A$2:$H$10,6,FALSE))+IF(K7="Defence",1,0))))</f>
        <v>11</v>
      </c>
      <c r="O7" s="6">
        <f>IF(B7="","",IF(K7="INVALID — CHECK RESULT TYPE","",IFERROR(LOOKUP(2,1/($B$2:B6=B7),$O$2:O6),VLOOKUP(B7,Baseline!$A$2:$H$10,7,FALSE))+IF(K7="Transfer",1,0)))</f>
        <v>681</v>
      </c>
      <c r="P7" s="6">
        <f>IF(B7="","",IF(K7="INVALID — CHECK RESULT TYPE","",IFERROR(LOOKUP(2,1/($B$2:B6=B7),$P$2:P6),VLOOKUP(B7,Baseline!$A$2:$H$10,8,FALSE))+IF(K7="Defence",1,0)))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98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IF(B8="","",IF(K8="INVALID — CHECK RESULT TYPE","",IF(K8="Transfer",IF(R8&lt;&gt;"",R8,C8),IFERROR(LOOKUP(2,1/($B$2:B7=B8),$M$2:M7),VLOOKUP(B8,Baseline!$A$2:$H$10,5,FALSE)))))</f>
        <v>45730</v>
      </c>
      <c r="N8" s="6">
        <f>IF(B8="","",IF(K8="INVALID — CHECK RESULT TYPE","",IF(K8="Transfer",0,IFERROR(LOOKUP(2,1/($B$2:B7=B8),$N$2:N7),VLOOKUP(B8,Baseline!$A$2:$H$10,6,FALSE))+IF(K8="Defence",1,0))))</f>
        <v>32</v>
      </c>
      <c r="O8" s="6">
        <f>IF(B8="","",IF(K8="INVALID — CHECK RESULT TYPE","",IFERROR(LOOKUP(2,1/($B$2:B7=B8),$O$2:O7),VLOOKUP(B8,Baseline!$A$2:$H$10,7,FALSE))+IF(K8="Transfer",1,0)))</f>
        <v>113</v>
      </c>
      <c r="P8" s="6">
        <f>IF(B8="","",IF(K8="INVALID — CHECK RESULT TYPE","",IFERROR(LOOKUP(2,1/($B$2:B7=B8),$P$2:P7),VLOOKUP(B8,Baseline!$A$2:$H$10,8,FALSE))+IF(K8="Defence",1,0)))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99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IF(B9="","",IF(K9="INVALID — CHECK RESULT TYPE","",IF(K9="Transfer",IF(R9&lt;&gt;"",R9,C9),IFERROR(LOOKUP(2,1/($B$2:B8=B9),$M$2:M8),VLOOKUP(B9,Baseline!$A$2:$H$10,5,FALSE)))))</f>
        <v>46081</v>
      </c>
      <c r="N9" s="6">
        <f>IF(B9="","",IF(K9="INVALID — CHECK RESULT TYPE","",IF(K9="Transfer",0,IFERROR(LOOKUP(2,1/($B$2:B8=B9),$N$2:N8),VLOOKUP(B9,Baseline!$A$2:$H$10,6,FALSE))+IF(K9="Defence",1,0))))</f>
        <v>11</v>
      </c>
      <c r="O9" s="6">
        <f>IF(B9="","",IF(K9="INVALID — CHECK RESULT TYPE","",IFERROR(LOOKUP(2,1/($B$2:B8=B9),$O$2:O8),VLOOKUP(B9,Baseline!$A$2:$H$10,7,FALSE))+IF(K9="Transfer",1,0)))</f>
        <v>681</v>
      </c>
      <c r="P9" s="6">
        <f>IF(B9="","",IF(K9="INVALID — CHECK RESULT TYPE","",IFERROR(LOOKUP(2,1/($B$2:B8=B9),$P$2:P8),VLOOKUP(B9,Baseline!$A$2:$H$10,8,FALSE))+IF(K9="Defence",1,0)))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/>
      </c>
      <c r="B10" s="5"/>
      <c r="C10" s="7"/>
      <c r="D10" s="5"/>
      <c r="E10" s="5"/>
      <c r="F10" s="5"/>
      <c r="G10" s="5"/>
      <c r="H10" s="10"/>
      <c r="I10" s="5"/>
      <c r="J10" s="6" t="str">
        <f>IF(B10="","",IFERROR(LOOKUP(2,1/($B$2:B9=B10),$L$2:L9),VLOOKUP(B10,Baseline!$A$2:$H$10,4,FALSE)))</f>
        <v/>
      </c>
      <c r="K10" s="6" t="str">
        <f t="shared" si="0"/>
        <v/>
      </c>
      <c r="L10" s="6" t="str">
        <f t="shared" si="1"/>
        <v/>
      </c>
      <c r="M10" s="8" t="str">
        <f>IF(B10="","",IF(K10="Transfer",C10,IFERROR(LOOKUP(2,1/($B$2:B9=B10),$M$2:M9),VLOOKUP(B10,Baseline!$A$2:$H$10,5,FALSE))))</f>
        <v/>
      </c>
      <c r="N10" s="6" t="str">
        <f>IF(B10="","",IF(K10="Transfer",0,IFERROR(LOOKUP(2,1/($B$2:B9=B10),$N$2:N9),VLOOKUP(B10,Baseline!$A$2:$H$10,6,FALSE))+IF(K10="Defence",1,0)))</f>
        <v/>
      </c>
      <c r="O10" s="6" t="str">
        <f>IF(B10="","",IFERROR(LOOKUP(2,1/($B$2:B9=B10),$O$2:O9),VLOOKUP(B10,Baseline!$A$2:$H$10,7,FALSE))+IF(K10="Transfer",1,0))</f>
        <v/>
      </c>
      <c r="P10" s="6" t="str">
        <f>IF(B10="","",IFERROR(LOOKUP(2,1/($B$2:B9=B10),$P$2:P9),VLOOKUP(B10,Baseline!$A$2:$H$10,8,FALSE))+IF(K10="Defence",1,0))</f>
        <v/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/>
      </c>
      <c r="B11" s="5"/>
      <c r="C11" s="7"/>
      <c r="D11" s="5"/>
      <c r="E11" s="5"/>
      <c r="F11" s="5"/>
      <c r="G11" s="5"/>
      <c r="H11" s="10"/>
      <c r="I11" s="5"/>
      <c r="J11" s="6" t="str">
        <f>IF(B11="","",IFERROR(LOOKUP(2,1/($B$2:B10=B11),$L$2:L10),VLOOKUP(B11,Baseline!$A$2:$H$10,4,FALSE)))</f>
        <v/>
      </c>
      <c r="K11" s="6" t="str">
        <f t="shared" si="0"/>
        <v/>
      </c>
      <c r="L11" s="6" t="str">
        <f t="shared" si="1"/>
        <v/>
      </c>
      <c r="M11" s="8" t="str">
        <f>IF(B11="","",IF(K11="Transfer",C11,IFERROR(LOOKUP(2,1/($B$2:B10=B11),$M$2:M10),VLOOKUP(B11,Baseline!$A$2:$H$10,5,FALSE))))</f>
        <v/>
      </c>
      <c r="N11" s="6" t="str">
        <f>IF(B11="","",IF(K11="Transfer",0,IFERROR(LOOKUP(2,1/($B$2:B10=B11),$N$2:N10),VLOOKUP(B11,Baseline!$A$2:$H$10,6,FALSE))+IF(K11="Defence",1,0)))</f>
        <v/>
      </c>
      <c r="O11" s="6" t="str">
        <f>IF(B11="","",IFERROR(LOOKUP(2,1/($B$2:B10=B11),$O$2:O10),VLOOKUP(B11,Baseline!$A$2:$H$10,7,FALSE))+IF(K11="Transfer",1,0))</f>
        <v/>
      </c>
      <c r="P11" s="6" t="str">
        <f>IF(B11="","",IFERROR(LOOKUP(2,1/($B$2:B10=B11),$P$2:P10),VLOOKUP(B11,Baseline!$A$2:$H$10,8,FALSE))+IF(K11="Defence",1,0))</f>
        <v/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/>
      </c>
      <c r="B12" s="5"/>
      <c r="C12" s="7"/>
      <c r="D12" s="5"/>
      <c r="E12" s="5"/>
      <c r="F12" s="5"/>
      <c r="G12" s="5"/>
      <c r="H12" s="10"/>
      <c r="I12" s="5"/>
      <c r="J12" s="6" t="str">
        <f>IF(B12="","",IFERROR(LOOKUP(2,1/($B$2:B11=B12),$L$2:L11),VLOOKUP(B12,Baseline!$A$2:$H$10,4,FALSE)))</f>
        <v/>
      </c>
      <c r="K12" s="6" t="str">
        <f t="shared" si="0"/>
        <v/>
      </c>
      <c r="L12" s="6" t="str">
        <f t="shared" si="1"/>
        <v/>
      </c>
      <c r="M12" s="8" t="str">
        <f>IF(B12="","",IF(K12="Transfer",C12,IFERROR(LOOKUP(2,1/($B$2:B11=B12),$M$2:M11),VLOOKUP(B12,Baseline!$A$2:$H$10,5,FALSE))))</f>
        <v/>
      </c>
      <c r="N12" s="6" t="str">
        <f>IF(B12="","",IF(K12="Transfer",0,IFERROR(LOOKUP(2,1/($B$2:B11=B12),$N$2:N11),VLOOKUP(B12,Baseline!$A$2:$H$10,6,FALSE))+IF(K12="Defence",1,0)))</f>
        <v/>
      </c>
      <c r="O12" s="6" t="str">
        <f>IF(B12="","",IFERROR(LOOKUP(2,1/($B$2:B11=B12),$O$2:O11),VLOOKUP(B12,Baseline!$A$2:$H$10,7,FALSE))+IF(K12="Transfer",1,0))</f>
        <v/>
      </c>
      <c r="P12" s="6" t="str">
        <f>IF(B12="","",IFERROR(LOOKUP(2,1/($B$2:B11=B12),$P$2:P11),VLOOKUP(B12,Baseline!$A$2:$H$10,8,FALSE))+IF(K12="Defence",1,0))</f>
        <v/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10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10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10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10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ref="K32:K63" si="2">IF(B32="","",IF(F32&lt;&gt;"Completed",F32,IF(G32="Challenger win","Transfer",IF(OR(G32="Holder win",G32="Draw / tie"),"Defence",IF(G32="No result","No result","REVIEW")))))</f>
        <v/>
      </c>
      <c r="L32" s="6" t="str">
        <f t="shared" ref="L32:L63" si="3">IF(B32="","",IF(K32="Transfer",D32,J32))</f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si="2"/>
        <v/>
      </c>
      <c r="L33" s="6" t="str">
        <f t="shared" si="3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si="2"/>
        <v/>
      </c>
      <c r="L34" s="6" t="str">
        <f t="shared" si="3"/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ref="K64:K98" si="4">IF(B64="","",IF(F64&lt;&gt;"Completed",F64,IF(G64="Challenger win","Transfer",IF(OR(G64="Holder win",G64="Draw / tie"),"Defence",IF(G64="No result","No result","REVIEW")))))</f>
        <v/>
      </c>
      <c r="L64" s="6" t="str">
        <f t="shared" ref="L64:L95" si="5">IF(B64="","",IF(K64="Transfer",D64,J64))</f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si="4"/>
        <v/>
      </c>
      <c r="L65" s="6" t="str">
        <f t="shared" si="5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si="4"/>
        <v/>
      </c>
      <c r="L66" s="6" t="str">
        <f t="shared" si="5"/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ref="L96:L98" si="6">IF(B96="","",IF(K96="Transfer",D96,J96))</f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6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si="6"/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</sheetData>
  <conditionalFormatting sqref="K2:K98">
    <cfRule type="expression" dxfId="0" priority="1">
      <formula>K2="INVALID — CHECK RESULT TYPE"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F2:F98</xm:sqref>
        </x14:dataValidation>
        <x14:dataValidation type="list" xr:uid="{00000000-0002-0000-0300-000001000000}">
          <x14:formula1>
            <xm:f>Lists!$E$2:$E$5</xm:f>
          </x14:formula1>
          <xm:sqref>G2:G98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100</v>
      </c>
      <c r="C1" s="1" t="s">
        <v>101</v>
      </c>
      <c r="D1" s="1" t="s">
        <v>25</v>
      </c>
      <c r="E1" s="1" t="s">
        <v>26</v>
      </c>
      <c r="F1" s="1" t="s">
        <v>27</v>
      </c>
      <c r="G1" s="1" t="s">
        <v>102</v>
      </c>
      <c r="H1" s="1" t="s">
        <v>103</v>
      </c>
    </row>
    <row r="2" spans="1:8">
      <c r="A2" t="s">
        <v>28</v>
      </c>
      <c r="B2" t="str">
        <f>IFERROR(LOOKUP(2,1/(Updates!$B$2:$B$98=A2),Updates!$L$2:$L$98),VLOOKUP(A2,Baseline!$A$2:$H$10,4,FALSE))</f>
        <v>South Africa</v>
      </c>
      <c r="C2" s="4">
        <f>IFERROR(LOOKUP(2,1/(Updates!$B$2:$B$98=A2),Updates!$M$2:$M$98),VLOOKUP(A2,Baseline!$A$2:$H$10,5,FALSE))</f>
        <v>45953</v>
      </c>
      <c r="D2">
        <f>IFERROR(LOOKUP(2,1/(Updates!$B$2:$B$98=A2),Updates!$N$2:$N$98),VLOOKUP(A2,Baseline!$A$2:$H$10,6,FALSE))</f>
        <v>2</v>
      </c>
      <c r="E2">
        <f>IFERROR(LOOKUP(2,1/(Updates!$B$2:$B$98=A2),Updates!$O$2:$O$98),VLOOKUP(A2,Baseline!$A$2:$H$10,7,FALSE))</f>
        <v>172</v>
      </c>
      <c r="F2">
        <f>IFERROR(LOOKUP(2,1/(Updates!$B$2:$B$98=A2),Updates!$P$2:$P$98),VLOOKUP(A2,Baseline!$A$2:$H$10,8,FALSE))</f>
        <v>270</v>
      </c>
      <c r="G2" s="4">
        <f>IFERROR(LOOKUP(2,1/((Updates!$B$2:$B$98=A2)*(Updates!$F$2:$F$98&lt;&gt;"Completed")*(Updates!$F$2:$F$98&lt;&gt;"Cancelled")*(Updates!$F$2:$F$98&lt;&gt;"Postponed")),Updates!$C$2:$C$98),"TBD")</f>
        <v>46304</v>
      </c>
      <c r="H2" t="str">
        <f>IF(G2="TBD","TBD",IFERROR(LOOKUP(2,1/((Updates!$B$2:$B$98=A2)*(Updates!$C$2:$C$98=G2)),Updates!$D$2:$D$98),"TBD"))</f>
        <v>Australia</v>
      </c>
    </row>
    <row r="3" spans="1:8">
      <c r="A3" t="s">
        <v>32</v>
      </c>
      <c r="B3" t="str">
        <f>IFERROR(LOOKUP(2,1/(Updates!$B$2:$B$98=A3),Updates!$L$2:$L$98),VLOOKUP(A3,Baseline!$A$2:$H$10,4,FALSE))</f>
        <v>Australia</v>
      </c>
      <c r="C3" s="4">
        <f>IFERROR(LOOKUP(2,1/(Updates!$B$2:$B$98=A3),Updates!$M$2:$M$98),VLOOKUP(A3,Baseline!$A$2:$H$10,5,FALSE))</f>
        <v>46089</v>
      </c>
      <c r="D3">
        <f>IFERROR(LOOKUP(2,1/(Updates!$B$2:$B$98=A3),Updates!$N$2:$N$98),VLOOKUP(A3,Baseline!$A$2:$H$10,6,FALSE))</f>
        <v>0</v>
      </c>
      <c r="E3">
        <f>IFERROR(LOOKUP(2,1/(Updates!$B$2:$B$98=A3),Updates!$O$2:$O$98),VLOOKUP(A3,Baseline!$A$2:$H$10,7,FALSE))</f>
        <v>8</v>
      </c>
      <c r="F3">
        <f>IFERROR(LOOKUP(2,1/(Updates!$B$2:$B$98=A3),Updates!$P$2:$P$98),VLOOKUP(A3,Baseline!$A$2:$H$10,8,FALSE))</f>
        <v>4</v>
      </c>
      <c r="G3" s="4">
        <f>IFERROR(LOOKUP(2,1/((Updates!$B$2:$B$98=A3)*(Updates!$F$2:$F$98&lt;&gt;"Completed")*(Updates!$F$2:$F$98&lt;&gt;"Cancelled")*(Updates!$F$2:$F$98&lt;&gt;"Postponed")),Updates!$C$2:$C$98),"TBD")</f>
        <v>46485</v>
      </c>
      <c r="H3" t="str">
        <f>IF(G3="TBD","TBD",IFERROR(LOOKUP(2,1/((Updates!$B$2:$B$98=A3)*(Updates!$C$2:$C$98=G3)),Updates!$D$2:$D$98),"TBD"))</f>
        <v>South Africa</v>
      </c>
    </row>
    <row r="4" spans="1:8">
      <c r="A4" t="s">
        <v>35</v>
      </c>
      <c r="B4" t="str">
        <f>IFERROR(LOOKUP(2,1/(Updates!$B$2:$B$98=A4),Updates!$L$2:$L$98),VLOOKUP(A4,Baseline!$A$2:$H$10,4,FALSE))</f>
        <v>Australia</v>
      </c>
      <c r="C4" s="4">
        <f>IFERROR(LOOKUP(2,1/(Updates!$B$2:$B$98=A4),Updates!$M$2:$M$98),VLOOKUP(A4,Baseline!$A$2:$H$10,5,FALSE))</f>
        <v>46187</v>
      </c>
      <c r="D4">
        <f>IFERROR(LOOKUP(2,1/(Updates!$B$2:$B$98=A4),Updates!$N$2:$N$98),VLOOKUP(A4,Baseline!$A$2:$H$10,6,FALSE))</f>
        <v>0</v>
      </c>
      <c r="E4">
        <f>IFERROR(LOOKUP(2,1/(Updates!$B$2:$B$98=A4),Updates!$O$2:$O$98),VLOOKUP(A4,Baseline!$A$2:$H$10,7,FALSE))</f>
        <v>358</v>
      </c>
      <c r="F4">
        <f>IFERROR(LOOKUP(2,1/(Updates!$B$2:$B$98=A4),Updates!$P$2:$P$98),VLOOKUP(A4,Baseline!$A$2:$H$10,8,FALSE))</f>
        <v>596</v>
      </c>
      <c r="G4" s="4">
        <f>IFERROR(LOOKUP(2,1/((Updates!$B$2:$B$98=A4)*(Updates!$F$2:$F$98&lt;&gt;"Completed")*(Updates!$F$2:$F$98&lt;&gt;"Cancelled")*(Updates!$F$2:$F$98&lt;&gt;"Postponed")),Updates!$C$2:$C$98),"TBD")</f>
        <v>46280</v>
      </c>
      <c r="H4" t="str">
        <f>IF(G4="TBD","TBD",IFERROR(LOOKUP(2,1/((Updates!$B$2:$B$98=A4)*(Updates!$C$2:$C$98=G4)),Updates!$D$2:$D$98),"TBD"))</f>
        <v>Zimbabwe</v>
      </c>
    </row>
    <row r="5" spans="1:8">
      <c r="A5" t="s">
        <v>37</v>
      </c>
      <c r="B5" t="str">
        <f>IFERROR(LOOKUP(2,1/(Updates!$B$2:$B$98=A5),Updates!$L$2:$L$98),VLOOKUP(A5,Baseline!$A$2:$H$10,4,FALSE))</f>
        <v>Australia</v>
      </c>
      <c r="C5" s="4">
        <f>IFERROR(LOOKUP(2,1/(Updates!$B$2:$B$98=A5),Updates!$M$2:$M$98),VLOOKUP(A5,Baseline!$A$2:$H$10,5,FALSE))</f>
        <v>46077</v>
      </c>
      <c r="D5">
        <f>IFERROR(LOOKUP(2,1/(Updates!$B$2:$B$98=A5),Updates!$N$2:$N$98),VLOOKUP(A5,Baseline!$A$2:$H$10,6,FALSE))</f>
        <v>5</v>
      </c>
      <c r="E5">
        <f>IFERROR(LOOKUP(2,1/(Updates!$B$2:$B$98=A5),Updates!$O$2:$O$98),VLOOKUP(A5,Baseline!$A$2:$H$10,7,FALSE))</f>
        <v>120</v>
      </c>
      <c r="F5">
        <f>IFERROR(LOOKUP(2,1/(Updates!$B$2:$B$98=A5),Updates!$P$2:$P$98),VLOOKUP(A5,Baseline!$A$2:$H$10,8,FALSE))</f>
        <v>251</v>
      </c>
      <c r="G5" s="4">
        <f>IFERROR(LOOKUP(2,1/((Updates!$B$2:$B$98=A5)*(Updates!$F$2:$F$98&lt;&gt;"Completed")*(Updates!$F$2:$F$98&lt;&gt;"Cancelled")*(Updates!$F$2:$F$98&lt;&gt;"Postponed")),Updates!$C$2:$C$98),"TBD")</f>
        <v>46304</v>
      </c>
      <c r="H5" t="str">
        <f>IF(G5="TBD","TBD",IFERROR(LOOKUP(2,1/((Updates!$B$2:$B$98=A5)*(Updates!$C$2:$C$98=G5)),Updates!$D$2:$D$98),"TBD"))</f>
        <v>Bangladesh</v>
      </c>
    </row>
    <row r="6" spans="1:8">
      <c r="A6" t="s">
        <v>39</v>
      </c>
      <c r="B6" t="str">
        <f>IFERROR(LOOKUP(2,1/(Updates!$B$2:$B$98=A6),Updates!$L$2:$L$98),VLOOKUP(A6,Baseline!$A$2:$H$10,4,FALSE))</f>
        <v>Ireland</v>
      </c>
      <c r="C6" s="4">
        <f>IFERROR(LOOKUP(2,1/(Updates!$B$2:$B$98=A6),Updates!$M$2:$M$98),VLOOKUP(A6,Baseline!$A$2:$H$10,5,FALSE))</f>
        <v>46199</v>
      </c>
      <c r="D6">
        <f>IFERROR(LOOKUP(2,1/(Updates!$B$2:$B$98=A6),Updates!$N$2:$N$98),VLOOKUP(A6,Baseline!$A$2:$H$10,6,FALSE))</f>
        <v>1</v>
      </c>
      <c r="E6">
        <f>IFERROR(LOOKUP(2,1/(Updates!$B$2:$B$98=A6),Updates!$O$2:$O$98),VLOOKUP(A6,Baseline!$A$2:$H$10,7,FALSE))</f>
        <v>89</v>
      </c>
      <c r="F6">
        <f>IFERROR(LOOKUP(2,1/(Updates!$B$2:$B$98=A6),Updates!$P$2:$P$98),VLOOKUP(A6,Baseline!$A$2:$H$10,8,FALSE))</f>
        <v>152</v>
      </c>
      <c r="G6" s="4" t="str">
        <f>IFERROR(LOOKUP(2,1/((Updates!$B$2:$B$98=A6)*(Updates!$F$2:$F$98&lt;&gt;"Completed")*(Updates!$F$2:$F$98&lt;&gt;"Cancelled")*(Updates!$F$2:$F$98&lt;&gt;"Postponed")),Updates!$C$2:$C$98),"TBD")</f>
        <v>TBD</v>
      </c>
      <c r="H6" t="str">
        <f>IF(G6="TBD","TBD",IFERROR(LOOKUP(2,1/((Updates!$B$2:$B$98=A6)*(Updates!$C$2:$C$98=G6)),Updates!$D$2:$D$98),"TBD"))</f>
        <v>TBD</v>
      </c>
    </row>
    <row r="7" spans="1:8">
      <c r="A7" t="s">
        <v>42</v>
      </c>
      <c r="B7" t="str">
        <f>IFERROR(LOOKUP(2,1/(Updates!$B$2:$B$98=A7),Updates!$L$2:$L$98),VLOOKUP(A7,Baseline!$A$2:$H$10,4,FALSE))</f>
        <v>Australia</v>
      </c>
      <c r="C7" s="4">
        <f>IFERROR(LOOKUP(2,1/(Updates!$B$2:$B$98=A7),Updates!$M$2:$M$98),VLOOKUP(A7,Baseline!$A$2:$H$10,5,FALSE))</f>
        <v>46186</v>
      </c>
      <c r="D7">
        <f>IFERROR(LOOKUP(2,1/(Updates!$B$2:$B$98=A7),Updates!$N$2:$N$98),VLOOKUP(A7,Baseline!$A$2:$H$10,6,FALSE))</f>
        <v>6</v>
      </c>
      <c r="E7">
        <f>IFERROR(LOOKUP(2,1/(Updates!$B$2:$B$98=A7),Updates!$O$2:$O$98),VLOOKUP(A7,Baseline!$A$2:$H$10,7,FALSE))</f>
        <v>76</v>
      </c>
      <c r="F7">
        <f>IFERROR(LOOKUP(2,1/(Updates!$B$2:$B$98=A7),Updates!$P$2:$P$98),VLOOKUP(A7,Baseline!$A$2:$H$10,8,FALSE))</f>
        <v>139</v>
      </c>
      <c r="G7" s="4">
        <f>IFERROR(LOOKUP(2,1/((Updates!$B$2:$B$98=A7)*(Updates!$F$2:$F$98&lt;&gt;"Completed")*(Updates!$F$2:$F$98&lt;&gt;"Cancelled")*(Updates!$F$2:$F$98&lt;&gt;"Postponed")),Updates!$C$2:$C$98),"TBD")</f>
        <v>46313</v>
      </c>
      <c r="H7" t="str">
        <f>IF(G7="TBD","TBD",IFERROR(LOOKUP(2,1/((Updates!$B$2:$B$98=A7)*(Updates!$C$2:$C$98=G7)),Updates!$D$2:$D$98),"TBD"))</f>
        <v>New Zealand</v>
      </c>
    </row>
    <row r="8" spans="1:8">
      <c r="A8" t="s">
        <v>44</v>
      </c>
      <c r="B8" t="str">
        <f>IFERROR(LOOKUP(2,1/(Updates!$B$2:$B$98=A8),Updates!$L$2:$L$98),VLOOKUP(A8,Baseline!$A$2:$H$10,4,FALSE))</f>
        <v>Royal Challengers Bengaluru</v>
      </c>
      <c r="C8" s="4">
        <f>IFERROR(LOOKUP(2,1/(Updates!$B$2:$B$98=A8),Updates!$M$2:$M$98),VLOOKUP(A8,Baseline!$A$2:$H$10,5,FALSE))</f>
        <v>46173</v>
      </c>
      <c r="D8">
        <f>IFERROR(LOOKUP(2,1/(Updates!$B$2:$B$98=A8),Updates!$N$2:$N$98),VLOOKUP(A8,Baseline!$A$2:$H$10,6,FALSE))</f>
        <v>0</v>
      </c>
      <c r="E8">
        <f>IFERROR(LOOKUP(2,1/(Updates!$B$2:$B$98=A8),Updates!$O$2:$O$98),VLOOKUP(A8,Baseline!$A$2:$H$10,7,FALSE))</f>
        <v>150</v>
      </c>
      <c r="F8">
        <f>IFERROR(LOOKUP(2,1/(Updates!$B$2:$B$98=A8),Updates!$P$2:$P$98),VLOOKUP(A8,Baseline!$A$2:$H$10,8,FALSE))</f>
        <v>125</v>
      </c>
      <c r="G8" s="4" t="str">
        <f>IFERROR(LOOKUP(2,1/((Updates!$B$2:$B$98=A8)*(Updates!$F$2:$F$98&lt;&gt;"Completed")*(Updates!$F$2:$F$98&lt;&gt;"Cancelled")*(Updates!$F$2:$F$98&lt;&gt;"Postponed")),Updates!$C$2:$C$98),"TBD")</f>
        <v>TBD</v>
      </c>
      <c r="H8" t="str">
        <f>IF(G8="TBD","TBD",IFERROR(LOOKUP(2,1/((Updates!$B$2:$B$98=A8)*(Updates!$C$2:$C$98=G8)),Updates!$D$2:$D$98),"TBD"))</f>
        <v>TBD</v>
      </c>
    </row>
    <row r="9" spans="1:8">
      <c r="A9" t="s">
        <v>47</v>
      </c>
      <c r="B9" t="str">
        <f>IFERROR(LOOKUP(2,1/(Updates!$B$2:$B$98=A9),Updates!$L$2:$L$98),VLOOKUP(A9,Baseline!$A$2:$H$10,4,FALSE))</f>
        <v>Bayern München</v>
      </c>
      <c r="C9" s="4">
        <f>IFERROR(LOOKUP(2,1/(Updates!$B$2:$B$98=A9),Updates!$M$2:$M$98),VLOOKUP(A9,Baseline!$A$2:$H$10,5,FALSE))</f>
        <v>46081</v>
      </c>
      <c r="D9">
        <f>IFERROR(LOOKUP(2,1/(Updates!$B$2:$B$98=A9),Updates!$N$2:$N$98),VLOOKUP(A9,Baseline!$A$2:$H$10,6,FALSE))</f>
        <v>11</v>
      </c>
      <c r="E9">
        <f>IFERROR(LOOKUP(2,1/(Updates!$B$2:$B$98=A9),Updates!$O$2:$O$98),VLOOKUP(A9,Baseline!$A$2:$H$10,7,FALSE))</f>
        <v>681</v>
      </c>
      <c r="F9">
        <f>IFERROR(LOOKUP(2,1/(Updates!$B$2:$B$98=A9),Updates!$P$2:$P$98),VLOOKUP(A9,Baseline!$A$2:$H$10,8,FALSE))</f>
        <v>1443</v>
      </c>
      <c r="G9" s="4">
        <f>IFERROR(LOOKUP(2,1/((Updates!$B$2:$B$98=A9)*(Updates!$F$2:$F$98&lt;&gt;"Completed")*(Updates!$F$2:$F$98&lt;&gt;"Cancelled")*(Updates!$F$2:$F$98&lt;&gt;"Postponed")),Updates!$C$2:$C$98),"TBD")</f>
        <v>46269</v>
      </c>
      <c r="H9" t="str">
        <f>IF(G9="TBD","TBD",IFERROR(LOOKUP(2,1/((Updates!$B$2:$B$98=A9)*(Updates!$C$2:$C$98=G9)),Updates!$D$2:$D$98),"TBD"))</f>
        <v>Schalke FC</v>
      </c>
    </row>
    <row r="10" spans="1:8">
      <c r="A10" t="s">
        <v>51</v>
      </c>
      <c r="B10" t="str">
        <f>IFERROR(LOOKUP(2,1/(Updates!$B$2:$B$98=A10),Updates!$L$2:$L$98),VLOOKUP(A10,Baseline!$A$2:$H$10,4,FALSE))</f>
        <v>Bayern München</v>
      </c>
      <c r="C10" s="4">
        <f>IFERROR(LOOKUP(2,1/(Updates!$B$2:$B$98=A10),Updates!$M$2:$M$98),VLOOKUP(A10,Baseline!$A$2:$H$10,5,FALSE))</f>
        <v>45730</v>
      </c>
      <c r="D10">
        <f>IFERROR(LOOKUP(2,1/(Updates!$B$2:$B$98=A10),Updates!$N$2:$N$98),VLOOKUP(A10,Baseline!$A$2:$H$10,6,FALSE))</f>
        <v>32</v>
      </c>
      <c r="E10">
        <f>IFERROR(LOOKUP(2,1/(Updates!$B$2:$B$98=A10),Updates!$O$2:$O$98),VLOOKUP(A10,Baseline!$A$2:$H$10,7,FALSE))</f>
        <v>113</v>
      </c>
      <c r="F10">
        <f>IFERROR(LOOKUP(2,1/(Updates!$B$2:$B$98=A10),Updates!$P$2:$P$98),VLOOKUP(A10,Baseline!$A$2:$H$10,8,FALSE))</f>
        <v>655</v>
      </c>
      <c r="G10" s="4">
        <f>IFERROR(LOOKUP(2,1/((Updates!$B$2:$B$98=A10)*(Updates!$F$2:$F$98&lt;&gt;"Completed")*(Updates!$F$2:$F$98&lt;&gt;"Cancelled")*(Updates!$F$2:$F$98&lt;&gt;"Postponed")),Updates!$C$2:$C$98),"TBD")</f>
        <v>46265</v>
      </c>
      <c r="H10" t="str">
        <f>IF(G10="TBD","TBD",IFERROR(LOOKUP(2,1/((Updates!$B$2:$B$98=A10)*(Updates!$C$2:$C$98=G10)),Updates!$D$2:$D$98),"TBD"))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104</v>
      </c>
      <c r="B1" s="1" t="s">
        <v>105</v>
      </c>
      <c r="C1" s="1" t="s">
        <v>106</v>
      </c>
      <c r="D1" s="1" t="s">
        <v>107</v>
      </c>
      <c r="E1" s="1" t="s">
        <v>108</v>
      </c>
      <c r="F1" s="1" t="s">
        <v>109</v>
      </c>
      <c r="G1" s="1" t="s">
        <v>110</v>
      </c>
      <c r="H1" s="1" t="s">
        <v>111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172</v>
      </c>
      <c r="F2">
        <f>Dashboard!F2</f>
        <v>270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4</v>
      </c>
      <c r="G3" s="9">
        <f>Dashboard!G3</f>
        <v>46485</v>
      </c>
      <c r="H3" t="str">
        <f>Dashboard!H3</f>
        <v>South Africa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46187</v>
      </c>
      <c r="D4">
        <f>Dashboard!D4</f>
        <v>0</v>
      </c>
      <c r="E4">
        <f>Dashboard!E4</f>
        <v>358</v>
      </c>
      <c r="F4">
        <f>Dashboard!F4</f>
        <v>596</v>
      </c>
      <c r="G4" s="9">
        <f>Dashboard!G4</f>
        <v>46280</v>
      </c>
      <c r="H4" t="str">
        <f>Dashboard!H4</f>
        <v>Zimbabwe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 Hariharan</cp:lastModifiedBy>
  <dcterms:modified xsi:type="dcterms:W3CDTF">2026-08-30T19:52:11Z</dcterms:modified>
</cp:coreProperties>
</file>