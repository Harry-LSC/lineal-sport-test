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Lineal Sport Championship\Live Update\"/>
    </mc:Choice>
  </mc:AlternateContent>
  <xr:revisionPtr revIDLastSave="0" documentId="13_ncr:1_{E9D06B68-FCE6-44DB-8B23-D0ABE251BEAA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C3" i="5"/>
  <c r="C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K17" i="4"/>
  <c r="M17" i="4" s="1"/>
  <c r="J17" i="4"/>
  <c r="A17" i="4"/>
  <c r="K16" i="4"/>
  <c r="P16" i="4" s="1"/>
  <c r="J16" i="4"/>
  <c r="A16" i="4"/>
  <c r="K15" i="4"/>
  <c r="A15" i="4"/>
  <c r="K14" i="4"/>
  <c r="M14" i="4" s="1"/>
  <c r="A14" i="4"/>
  <c r="K13" i="4"/>
  <c r="A13" i="4"/>
  <c r="K12" i="4"/>
  <c r="A12" i="4"/>
  <c r="K11" i="4"/>
  <c r="A11" i="4"/>
  <c r="K10" i="4"/>
  <c r="P10" i="4" s="1"/>
  <c r="J10" i="4"/>
  <c r="A10" i="4"/>
  <c r="K9" i="4"/>
  <c r="A9" i="4"/>
  <c r="P8" i="4"/>
  <c r="F10" i="5" s="1"/>
  <c r="F10" i="6" s="1"/>
  <c r="O8" i="4"/>
  <c r="E10" i="5" s="1"/>
  <c r="E10" i="6" s="1"/>
  <c r="N8" i="4"/>
  <c r="D10" i="5" s="1"/>
  <c r="D10" i="6" s="1"/>
  <c r="M8" i="4"/>
  <c r="C10" i="5" s="1"/>
  <c r="C10" i="6" s="1"/>
  <c r="K8" i="4"/>
  <c r="J8" i="4"/>
  <c r="A8" i="4"/>
  <c r="K7" i="4"/>
  <c r="P7" i="4" s="1"/>
  <c r="J7" i="4"/>
  <c r="A7" i="4"/>
  <c r="M6" i="4"/>
  <c r="C7" i="5" s="1"/>
  <c r="C7" i="6" s="1"/>
  <c r="K6" i="4"/>
  <c r="O6" i="4" s="1"/>
  <c r="E7" i="5" s="1"/>
  <c r="E7" i="6" s="1"/>
  <c r="J6" i="4"/>
  <c r="A6" i="4"/>
  <c r="K5" i="4"/>
  <c r="P5" i="4" s="1"/>
  <c r="J5" i="4"/>
  <c r="A5" i="4"/>
  <c r="K4" i="4"/>
  <c r="P4" i="4" s="1"/>
  <c r="J4" i="4"/>
  <c r="A4" i="4"/>
  <c r="M3" i="4"/>
  <c r="K3" i="4"/>
  <c r="N3" i="4" s="1"/>
  <c r="D3" i="5" s="1"/>
  <c r="D3" i="6" s="1"/>
  <c r="J3" i="4"/>
  <c r="A3" i="4"/>
  <c r="P2" i="4"/>
  <c r="F2" i="5" s="1"/>
  <c r="F2" i="6" s="1"/>
  <c r="O2" i="4"/>
  <c r="E2" i="5" s="1"/>
  <c r="E2" i="6" s="1"/>
  <c r="N2" i="4"/>
  <c r="D2" i="5" s="1"/>
  <c r="D2" i="6" s="1"/>
  <c r="M2" i="4"/>
  <c r="C2" i="5" s="1"/>
  <c r="C2" i="6" s="1"/>
  <c r="K2" i="4"/>
  <c r="L2" i="4" s="1"/>
  <c r="B2" i="5" s="1"/>
  <c r="B2" i="6" s="1"/>
  <c r="J2" i="4"/>
  <c r="A2" i="4"/>
  <c r="N17" i="4" l="1"/>
  <c r="O17" i="4"/>
  <c r="P17" i="4"/>
  <c r="L17" i="4"/>
  <c r="L16" i="4"/>
  <c r="M16" i="4"/>
  <c r="N16" i="4"/>
  <c r="O16" i="4"/>
  <c r="F5" i="5"/>
  <c r="F5" i="6" s="1"/>
  <c r="L8" i="4"/>
  <c r="B10" i="5" s="1"/>
  <c r="B10" i="6" s="1"/>
  <c r="O5" i="4"/>
  <c r="E5" i="5" s="1"/>
  <c r="E5" i="6" s="1"/>
  <c r="M5" i="4"/>
  <c r="C5" i="5" s="1"/>
  <c r="C5" i="6" s="1"/>
  <c r="N5" i="4"/>
  <c r="D5" i="5" s="1"/>
  <c r="D5" i="6" s="1"/>
  <c r="N15" i="4"/>
  <c r="M15" i="4"/>
  <c r="N14" i="4"/>
  <c r="L14" i="4"/>
  <c r="J15" i="4" s="1"/>
  <c r="L15" i="4" s="1"/>
  <c r="L12" i="4"/>
  <c r="J13" i="4" s="1"/>
  <c r="L13" i="4" s="1"/>
  <c r="J14" i="4" s="1"/>
  <c r="M12" i="4"/>
  <c r="M13" i="4" s="1"/>
  <c r="N12" i="4"/>
  <c r="N13" i="4" s="1"/>
  <c r="P11" i="4"/>
  <c r="P12" i="4" s="1"/>
  <c r="P13" i="4" s="1"/>
  <c r="P14" i="4" s="1"/>
  <c r="P15" i="4" s="1"/>
  <c r="F4" i="5" s="1"/>
  <c r="F4" i="6" s="1"/>
  <c r="O11" i="4"/>
  <c r="O12" i="4" s="1"/>
  <c r="O13" i="4" s="1"/>
  <c r="O14" i="4" s="1"/>
  <c r="O15" i="4" s="1"/>
  <c r="L11" i="4"/>
  <c r="J12" i="4" s="1"/>
  <c r="L10" i="4"/>
  <c r="J11" i="4" s="1"/>
  <c r="M10" i="4"/>
  <c r="M11" i="4" s="1"/>
  <c r="N10" i="4"/>
  <c r="N11" i="4" s="1"/>
  <c r="O10" i="4"/>
  <c r="L5" i="4"/>
  <c r="B5" i="5" s="1"/>
  <c r="B5" i="6" s="1"/>
  <c r="N6" i="4"/>
  <c r="D7" i="5" s="1"/>
  <c r="D7" i="6" s="1"/>
  <c r="O3" i="4"/>
  <c r="E3" i="5" s="1"/>
  <c r="E3" i="6" s="1"/>
  <c r="P3" i="4"/>
  <c r="F3" i="5" s="1"/>
  <c r="F3" i="6" s="1"/>
  <c r="P6" i="4"/>
  <c r="F7" i="5" s="1"/>
  <c r="F7" i="6" s="1"/>
  <c r="P9" i="4"/>
  <c r="F9" i="5" s="1"/>
  <c r="F9" i="6" s="1"/>
  <c r="H5" i="5"/>
  <c r="H5" i="6" s="1"/>
  <c r="H7" i="5"/>
  <c r="H7" i="6" s="1"/>
  <c r="G3" i="6"/>
  <c r="G6" i="6"/>
  <c r="G9" i="6"/>
  <c r="H2" i="5"/>
  <c r="H2" i="6" s="1"/>
  <c r="L4" i="4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G8" i="6"/>
  <c r="H4" i="5"/>
  <c r="H4" i="6" s="1"/>
  <c r="N4" i="4"/>
  <c r="D4" i="5" s="1"/>
  <c r="D4" i="6" s="1"/>
  <c r="N7" i="4"/>
  <c r="N9" i="4" s="1"/>
  <c r="D9" i="5" s="1"/>
  <c r="D9" i="6" s="1"/>
  <c r="O4" i="4"/>
  <c r="O7" i="4"/>
  <c r="O9" i="4" s="1"/>
  <c r="E9" i="5" s="1"/>
  <c r="E9" i="6" s="1"/>
  <c r="L3" i="4"/>
  <c r="B3" i="5" s="1"/>
  <c r="B3" i="6" s="1"/>
  <c r="L6" i="4"/>
  <c r="B7" i="5" s="1"/>
  <c r="B7" i="6" s="1"/>
  <c r="G10" i="6"/>
  <c r="E4" i="5" l="1"/>
  <c r="E4" i="6" s="1"/>
  <c r="B4" i="5"/>
  <c r="B4" i="6" s="1"/>
</calcChain>
</file>

<file path=xl/sharedStrings.xml><?xml version="1.0" encoding="utf-8"?>
<sst xmlns="http://schemas.openxmlformats.org/spreadsheetml/2006/main" count="220" uniqueCount="130">
  <si>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</si>
  <si>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</si>
  <si>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</si>
  <si>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</si>
  <si>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</si>
  <si>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</si>
  <si>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</si>
  <si>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</si>
  <si>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</si>
  <si>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</si>
  <si>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</si>
  <si>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</si>
  <si>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</si>
  <si>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</si>
  <si>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</si>
  <si>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</si>
  <si>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</si>
  <si>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</si>
  <si>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</si>
  <si>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</si>
  <si>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</si>
  <si>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</si>
  <si>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</si>
  <si>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</si>
  <si>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</si>
  <si>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</si>
  <si>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</si>
  <si>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</si>
  <si>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</si>
  <si>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</si>
  <si>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</si>
  <si>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</si>
  <si>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</si>
  <si>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</si>
  <si>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</si>
  <si>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</si>
  <si>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</si>
  <si>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</si>
  <si>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</si>
  <si>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</si>
  <si>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</si>
  <si>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</si>
  <si>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</si>
  <si>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</si>
  <si>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</si>
  <si>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</si>
  <si>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</si>
  <si>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</si>
  <si>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</si>
  <si>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</si>
  <si>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</si>
  <si>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</si>
  <si>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</si>
  <si>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</si>
  <si>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</si>
  <si>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</si>
  <si>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</si>
  <si>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</si>
  <si>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</si>
  <si>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</si>
  <si>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</si>
  <si>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</si>
  <si>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</si>
  <si>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</si>
  <si>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</si>
  <si>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</si>
  <si>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</si>
  <si>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</si>
  <si>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</si>
  <si>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</si>
  <si>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</si>
  <si>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</si>
  <si>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</si>
  <si>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</si>
  <si>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</si>
  <si>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</si>
  <si>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</si>
  <si>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</si>
  <si>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</si>
  <si>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</si>
  <si>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</si>
  <si>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</si>
  <si>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</si>
  <si>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</si>
  <si>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</si>
  <si>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</si>
  <si>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</si>
  <si>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</si>
  <si>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</si>
  <si>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</si>
  <si>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</si>
  <si>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</si>
  <si>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</si>
  <si>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</si>
  <si>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</si>
  <si>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</si>
  <si>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</si>
  <si>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</si>
  <si>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</si>
  <si>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</si>
  <si>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</si>
  <si>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</si>
  <si>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</si>
  <si>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</si>
  <si>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</si>
  <si>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</si>
  <si>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</si>
  <si>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</si>
  <si>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</si>
  <si>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</si>
  <si>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</si>
  <si>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</si>
  <si>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</si>
  <si>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</si>
  <si>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</si>
  <si>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JB Marks Oval · Potchefstroom</t>
  </si>
  <si>
    <t>def Zimbabwe by 59 runs</t>
  </si>
  <si>
    <t>def Zimbabwe by 84 runs</t>
  </si>
  <si>
    <t>def Zimbabwe by 1 wicket</t>
  </si>
  <si>
    <t>Durban</t>
  </si>
  <si>
    <t>def Australia by 67 runs</t>
  </si>
  <si>
    <t>Johannesburg</t>
  </si>
  <si>
    <t>def Australia by 32 runs</t>
  </si>
  <si>
    <t>Potchefstroom</t>
  </si>
  <si>
    <t>def South Africa by 45 runs (DLS)</t>
  </si>
  <si>
    <t>England</t>
  </si>
  <si>
    <t>Perth</t>
  </si>
  <si>
    <t>def Bangladesh by 7 Wickets</t>
  </si>
  <si>
    <t>Brisbane</t>
  </si>
  <si>
    <t>def Bangladesh by 9 wickets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</si>
</sst>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111</v>
      </c>
      <c r="B9" s="3" t="s">
        <v>112</v>
      </c>
      <c r="C9" s="3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214</v>
      </c>
      <c r="H2">
        <v>404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74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F18" sqref="F18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114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214</v>
      </c>
      <c r="P2" s="6">
        <f>IF(B2="","",IF(K2="INVALID — CHECK RESULT TYPE","",VLOOKUP(B2,Baseline!$A$2:$H$10,8,FALSE)+IF(K2="Defence",1,0)))</f>
        <v>404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115</v>
      </c>
      <c r="F3" s="5" t="s">
        <v>57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74</v>
      </c>
      <c r="Q3" s="5"/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89</v>
      </c>
      <c r="E4" s="5" t="s">
        <v>90</v>
      </c>
      <c r="F4" s="5" t="s">
        <v>63</v>
      </c>
      <c r="G4" s="5" t="s">
        <v>58</v>
      </c>
      <c r="H4" s="10" t="s">
        <v>116</v>
      </c>
      <c r="I4" s="5"/>
      <c r="J4" s="6" t="str">
        <f>IF(B4="","",IFERROR(LOOKUP(2,1/($B$2:B3=B4),$L$2:L3),VLOOKUP(B4,Baseline!$A$2:$H$10,4,FALSE)))</f>
        <v>Australia</v>
      </c>
      <c r="K4" s="6" t="str">
        <f t="shared" si="0"/>
        <v>Defence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1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597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91</v>
      </c>
      <c r="E5" s="5" t="s">
        <v>92</v>
      </c>
      <c r="F5" s="5" t="s">
        <v>63</v>
      </c>
      <c r="G5" s="5" t="s">
        <v>58</v>
      </c>
      <c r="H5" s="10" t="s">
        <v>127</v>
      </c>
      <c r="I5" s="5"/>
      <c r="J5" s="6" t="str">
        <f>IF(B5="","",IFERROR(LOOKUP(2,1/($B$2:B4=B5),$L$2:L4),VLOOKUP(B5,Baseline!$A$2:$H$10,4,FALSE)))</f>
        <v>Australia</v>
      </c>
      <c r="K5" s="6" t="str">
        <f t="shared" si="0"/>
        <v>Defence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6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252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93</v>
      </c>
      <c r="E6" s="5" t="s">
        <v>94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95</v>
      </c>
      <c r="E7" s="5"/>
      <c r="F7" s="5" t="s">
        <v>63</v>
      </c>
      <c r="G7" s="5" t="s">
        <v>58</v>
      </c>
      <c r="H7" s="11" t="s">
        <v>96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97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98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>JEJ-20260918-01</v>
      </c>
      <c r="B10" s="5" t="s">
        <v>35</v>
      </c>
      <c r="C10" s="7">
        <v>46283</v>
      </c>
      <c r="D10" s="5" t="s">
        <v>89</v>
      </c>
      <c r="E10" s="5" t="s">
        <v>90</v>
      </c>
      <c r="F10" s="5" t="s">
        <v>63</v>
      </c>
      <c r="G10" s="5" t="s">
        <v>58</v>
      </c>
      <c r="H10" s="10" t="s">
        <v>117</v>
      </c>
      <c r="I10" s="5"/>
      <c r="J10" s="6" t="str">
        <f>IF(B10="","",IFERROR(LOOKUP(2,1/($B$2:B9=B10),$L$2:L9),VLOOKUP(B10,Baseline!$A$2:$H$10,4,FALSE)))</f>
        <v>Australia</v>
      </c>
      <c r="K10" s="6" t="str">
        <f t="shared" si="0"/>
        <v>Defence</v>
      </c>
      <c r="L10" s="6" t="str">
        <f t="shared" si="1"/>
        <v>Australia</v>
      </c>
      <c r="M10" s="8">
        <f>IF(B10="","",IF(K10="Transfer",C10,IFERROR(LOOKUP(2,1/($B$2:B9=B10),$M$2:M9),VLOOKUP(B10,Baseline!$A$2:$H$10,5,FALSE))))</f>
        <v>46187</v>
      </c>
      <c r="N10" s="6">
        <f>IF(B10="","",IF(K10="Transfer",0,IFERROR(LOOKUP(2,1/($B$2:B9=B10),$N$2:N9),VLOOKUP(B10,Baseline!$A$2:$H$10,6,FALSE))+IF(K10="Defence",1,0)))</f>
        <v>2</v>
      </c>
      <c r="O10" s="6">
        <f>IF(B10="","",IFERROR(LOOKUP(2,1/($B$2:B9=B10),$O$2:O9),VLOOKUP(B10,Baseline!$A$2:$H$10,7,FALSE))+IF(K10="Transfer",1,0))</f>
        <v>358</v>
      </c>
      <c r="P10" s="6">
        <f>IF(B10="","",IFERROR(LOOKUP(2,1/($B$2:B9=B10),$P$2:P9),VLOOKUP(B10,Baseline!$A$2:$H$10,8,FALSE))+IF(K10="Defence",1,0))</f>
        <v>598</v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>JEJ-20260920-01</v>
      </c>
      <c r="B11" s="5" t="s">
        <v>35</v>
      </c>
      <c r="C11" s="7">
        <v>46285</v>
      </c>
      <c r="D11" s="5" t="s">
        <v>89</v>
      </c>
      <c r="E11" s="5" t="s">
        <v>90</v>
      </c>
      <c r="F11" s="5" t="s">
        <v>63</v>
      </c>
      <c r="G11" s="5" t="s">
        <v>58</v>
      </c>
      <c r="H11" s="10" t="s">
        <v>118</v>
      </c>
      <c r="I11" s="5"/>
      <c r="J11" s="6" t="str">
        <f>IF(B11="","",IFERROR(LOOKUP(2,1/($B$2:B10=B11),$L$2:L10),VLOOKUP(B11,Baseline!$A$2:$H$10,4,FALSE)))</f>
        <v>Australia</v>
      </c>
      <c r="K11" s="6" t="str">
        <f t="shared" si="0"/>
        <v>Defence</v>
      </c>
      <c r="L11" s="6" t="str">
        <f t="shared" si="1"/>
        <v>Australia</v>
      </c>
      <c r="M11" s="8">
        <f>IF(B11="","",IF(K11="Transfer",C11,IFERROR(LOOKUP(2,1/($B$2:B10=B11),$M$2:M10),VLOOKUP(B11,Baseline!$A$2:$H$10,5,FALSE))))</f>
        <v>46187</v>
      </c>
      <c r="N11" s="6">
        <f>IF(B11="","",IF(K11="Transfer",0,IFERROR(LOOKUP(2,1/($B$2:B10=B11),$N$2:N10),VLOOKUP(B11,Baseline!$A$2:$H$10,6,FALSE))+IF(K11="Defence",1,0)))</f>
        <v>3</v>
      </c>
      <c r="O11" s="6">
        <f>IF(B11="","",IFERROR(LOOKUP(2,1/($B$2:B10=B11),$O$2:O10),VLOOKUP(B11,Baseline!$A$2:$H$10,7,FALSE))+IF(K11="Transfer",1,0))</f>
        <v>358</v>
      </c>
      <c r="P11" s="6">
        <f>IF(B11="","",IFERROR(LOOKUP(2,1/($B$2:B10=B11),$P$2:P10),VLOOKUP(B11,Baseline!$A$2:$H$10,8,FALSE))+IF(K11="Defence",1,0))</f>
        <v>599</v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>JEJ-20260924-01</v>
      </c>
      <c r="B12" s="5" t="s">
        <v>35</v>
      </c>
      <c r="C12" s="7">
        <v>46289</v>
      </c>
      <c r="D12" s="5" t="s">
        <v>31</v>
      </c>
      <c r="E12" s="5" t="s">
        <v>119</v>
      </c>
      <c r="F12" s="5" t="s">
        <v>63</v>
      </c>
      <c r="G12" s="5" t="s">
        <v>61</v>
      </c>
      <c r="H12" s="10" t="s">
        <v>120</v>
      </c>
      <c r="I12" s="5"/>
      <c r="J12" s="6" t="str">
        <f>IF(B12="","",IFERROR(LOOKUP(2,1/($B$2:B11=B12),$L$2:L11),VLOOKUP(B12,Baseline!$A$2:$H$10,4,FALSE)))</f>
        <v>Australia</v>
      </c>
      <c r="K12" s="6" t="str">
        <f t="shared" si="0"/>
        <v>Transfer</v>
      </c>
      <c r="L12" s="6" t="str">
        <f t="shared" si="1"/>
        <v>South Africa</v>
      </c>
      <c r="M12" s="8">
        <f>IF(B12="","",IF(K12="Transfer",C12,IFERROR(LOOKUP(2,1/($B$2:B11=B12),$M$2:M11),VLOOKUP(B12,Baseline!$A$2:$H$10,5,FALSE))))</f>
        <v>46289</v>
      </c>
      <c r="N12" s="6">
        <f>IF(B12="","",IF(K12="Transfer",0,IFERROR(LOOKUP(2,1/($B$2:B11=B12),$N$2:N11),VLOOKUP(B12,Baseline!$A$2:$H$10,6,FALSE))+IF(K12="Defence",1,0)))</f>
        <v>0</v>
      </c>
      <c r="O12" s="6">
        <f>IF(B12="","",IFERROR(LOOKUP(2,1/($B$2:B11=B12),$O$2:O11),VLOOKUP(B12,Baseline!$A$2:$H$10,7,FALSE))+IF(K12="Transfer",1,0))</f>
        <v>359</v>
      </c>
      <c r="P12" s="6">
        <f>IF(B12="","",IFERROR(LOOKUP(2,1/($B$2:B11=B12),$P$2:P11),VLOOKUP(B12,Baseline!$A$2:$H$10,8,FALSE))+IF(K12="Defence",1,0))</f>
        <v>599</v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>JEJ-20260927-01</v>
      </c>
      <c r="B13" s="5" t="s">
        <v>35</v>
      </c>
      <c r="C13" s="7">
        <v>46292</v>
      </c>
      <c r="D13" s="5" t="s">
        <v>34</v>
      </c>
      <c r="E13" s="5" t="s">
        <v>121</v>
      </c>
      <c r="F13" s="5" t="s">
        <v>63</v>
      </c>
      <c r="G13" s="5" t="s">
        <v>58</v>
      </c>
      <c r="H13" s="10" t="s">
        <v>122</v>
      </c>
      <c r="I13" s="5"/>
      <c r="J13" s="6" t="str">
        <f>IF(B13="","",IFERROR(LOOKUP(2,1/($B$2:B12=B13),$L$2:L12),VLOOKUP(B13,Baseline!$A$2:$H$10,4,FALSE)))</f>
        <v>South Africa</v>
      </c>
      <c r="K13" s="6" t="str">
        <f t="shared" si="0"/>
        <v>Defence</v>
      </c>
      <c r="L13" s="6" t="str">
        <f t="shared" si="1"/>
        <v>South Africa</v>
      </c>
      <c r="M13" s="8">
        <f>IF(B13="","",IF(K13="Transfer",C13,IFERROR(LOOKUP(2,1/($B$2:B12=B13),$M$2:M12),VLOOKUP(B13,Baseline!$A$2:$H$10,5,FALSE))))</f>
        <v>46289</v>
      </c>
      <c r="N13" s="6">
        <f>IF(B13="","",IF(K13="Transfer",0,IFERROR(LOOKUP(2,1/($B$2:B12=B13),$N$2:N12),VLOOKUP(B13,Baseline!$A$2:$H$10,6,FALSE))+IF(K13="Defence",1,0)))</f>
        <v>1</v>
      </c>
      <c r="O13" s="6">
        <f>IF(B13="","",IFERROR(LOOKUP(2,1/($B$2:B12=B13),$O$2:O12),VLOOKUP(B13,Baseline!$A$2:$H$10,7,FALSE))+IF(K13="Transfer",1,0))</f>
        <v>359</v>
      </c>
      <c r="P13" s="6">
        <f>IF(B13="","",IFERROR(LOOKUP(2,1/($B$2:B12=B13),$P$2:P12),VLOOKUP(B13,Baseline!$A$2:$H$10,8,FALSE))+IF(K13="Defence",1,0))</f>
        <v>600</v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>JEJ-20260930-01</v>
      </c>
      <c r="B14" s="5" t="s">
        <v>35</v>
      </c>
      <c r="C14" s="7">
        <v>46295</v>
      </c>
      <c r="D14" s="5" t="s">
        <v>34</v>
      </c>
      <c r="E14" s="5" t="s">
        <v>123</v>
      </c>
      <c r="F14" s="5" t="s">
        <v>63</v>
      </c>
      <c r="G14" s="5" t="s">
        <v>61</v>
      </c>
      <c r="H14" s="10" t="s">
        <v>124</v>
      </c>
      <c r="I14" s="5"/>
      <c r="J14" s="6" t="str">
        <f>IF(B14="","",IFERROR(LOOKUP(2,1/($B$2:B13=B14),$L$2:L13),VLOOKUP(B14,Baseline!$A$2:$H$10,4,FALSE)))</f>
        <v>South Africa</v>
      </c>
      <c r="K14" s="6" t="str">
        <f t="shared" si="0"/>
        <v>Transfer</v>
      </c>
      <c r="L14" s="6" t="str">
        <f t="shared" si="1"/>
        <v>Australia</v>
      </c>
      <c r="M14" s="8">
        <f>IF(B14="","",IF(K14="Transfer",C14,IFERROR(LOOKUP(2,1/($B$2:B13=B14),$M$2:M13),VLOOKUP(B14,Baseline!$A$2:$H$10,5,FALSE))))</f>
        <v>46295</v>
      </c>
      <c r="N14" s="6">
        <f>IF(B14="","",IF(K14="Transfer",0,IFERROR(LOOKUP(2,1/($B$2:B13=B14),$N$2:N13),VLOOKUP(B14,Baseline!$A$2:$H$10,6,FALSE))+IF(K14="Defence",1,0)))</f>
        <v>0</v>
      </c>
      <c r="O14" s="6">
        <f>IF(B14="","",IFERROR(LOOKUP(2,1/($B$2:B13=B14),$O$2:O13),VLOOKUP(B14,Baseline!$A$2:$H$10,7,FALSE))+IF(K14="Transfer",1,0))</f>
        <v>360</v>
      </c>
      <c r="P14" s="6">
        <f>IF(B14="","",IFERROR(LOOKUP(2,1/($B$2:B13=B14),$P$2:P13),VLOOKUP(B14,Baseline!$A$2:$H$10,8,FALSE))+IF(K14="Defence",1,0))</f>
        <v>600</v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>JEJ-20261113-01</v>
      </c>
      <c r="B15" s="5" t="s">
        <v>35</v>
      </c>
      <c r="C15" s="7">
        <v>46339</v>
      </c>
      <c r="D15" s="5" t="s">
        <v>125</v>
      </c>
      <c r="E15" s="5" t="s">
        <v>126</v>
      </c>
      <c r="F15" s="5" t="s">
        <v>57</v>
      </c>
      <c r="G15" s="5"/>
      <c r="H15" s="10"/>
      <c r="I15" s="5"/>
      <c r="J15" s="6" t="str">
        <f>IF(B15="","",IFERROR(LOOKUP(2,1/($B$2:B14=B15),$L$2:L14),VLOOKUP(B15,Baseline!$A$2:$H$10,4,FALSE)))</f>
        <v>Australia</v>
      </c>
      <c r="K15" s="6" t="str">
        <f t="shared" si="0"/>
        <v>Scheduled</v>
      </c>
      <c r="L15" s="6" t="str">
        <f t="shared" si="1"/>
        <v>Australia</v>
      </c>
      <c r="M15" s="8">
        <f>IF(B15="","",IF(K15="Transfer",C15,IFERROR(LOOKUP(2,1/($B$2:B14=B15),$M$2:M14),VLOOKUP(B15,Baseline!$A$2:$H$10,5,FALSE))))</f>
        <v>46295</v>
      </c>
      <c r="N15" s="6">
        <f>IF(B15="","",IF(K15="Transfer",0,IFERROR(LOOKUP(2,1/($B$2:B14=B15),$N$2:N14),VLOOKUP(B15,Baseline!$A$2:$H$10,6,FALSE))+IF(K15="Defence",1,0)))</f>
        <v>0</v>
      </c>
      <c r="O15" s="6">
        <f>IF(B15="","",IFERROR(LOOKUP(2,1/($B$2:B14=B15),$O$2:O14),VLOOKUP(B15,Baseline!$A$2:$H$10,7,FALSE))+IF(K15="Transfer",1,0))</f>
        <v>360</v>
      </c>
      <c r="P15" s="6">
        <f>IF(B15="","",IFERROR(LOOKUP(2,1/($B$2:B14=B15),$P$2:P14),VLOOKUP(B15,Baseline!$A$2:$H$10,8,FALSE))+IF(K15="Defence",1,0))</f>
        <v>600</v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>TMT-20261011-01</v>
      </c>
      <c r="B16" s="5" t="s">
        <v>37</v>
      </c>
      <c r="C16" s="7">
        <v>46306</v>
      </c>
      <c r="D16" s="5" t="s">
        <v>91</v>
      </c>
      <c r="E16" s="5" t="s">
        <v>128</v>
      </c>
      <c r="F16" s="5" t="s">
        <v>63</v>
      </c>
      <c r="G16" s="5" t="s">
        <v>58</v>
      </c>
      <c r="H16" s="10" t="s">
        <v>129</v>
      </c>
      <c r="I16" s="5"/>
      <c r="J16" s="6" t="str">
        <f>IF(B16="","",IFERROR(LOOKUP(2,1/($B$2:B15=B16),$L$2:L15),VLOOKUP(B16,Baseline!$A$2:$H$10,4,FALSE)))</f>
        <v>Australia</v>
      </c>
      <c r="K16" s="6" t="str">
        <f t="shared" si="0"/>
        <v>Defence</v>
      </c>
      <c r="L16" s="6" t="str">
        <f t="shared" si="1"/>
        <v>Australia</v>
      </c>
      <c r="M16" s="8">
        <f>IF(B16="","",IF(K16="Transfer",C16,IFERROR(LOOKUP(2,1/($B$2:B15=B16),$M$2:M15),VLOOKUP(B16,Baseline!$A$2:$H$10,5,FALSE))))</f>
        <v>46077</v>
      </c>
      <c r="N16" s="6">
        <f>IF(B16="","",IF(K16="Transfer",0,IFERROR(LOOKUP(2,1/($B$2:B15=B16),$N$2:N15),VLOOKUP(B16,Baseline!$A$2:$H$10,6,FALSE))+IF(K16="Defence",1,0)))</f>
        <v>7</v>
      </c>
      <c r="O16" s="6">
        <f>IF(B16="","",IFERROR(LOOKUP(2,1/($B$2:B15=B16),$O$2:O15),VLOOKUP(B16,Baseline!$A$2:$H$10,7,FALSE))+IF(K16="Transfer",1,0))</f>
        <v>120</v>
      </c>
      <c r="P16" s="6">
        <f>IF(B16="","",IFERROR(LOOKUP(2,1/($B$2:B15=B16),$P$2:P15),VLOOKUP(B16,Baseline!$A$2:$H$10,8,FALSE))+IF(K16="Defence",1,0))</f>
        <v>253</v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>TMT-20261014-01</v>
      </c>
      <c r="B17" s="5" t="s">
        <v>37</v>
      </c>
      <c r="C17" s="7">
        <v>46309</v>
      </c>
      <c r="D17" s="5" t="s">
        <v>91</v>
      </c>
      <c r="E17" s="5" t="s">
        <v>128</v>
      </c>
      <c r="F17" s="5" t="s">
        <v>57</v>
      </c>
      <c r="G17" s="5"/>
      <c r="H17" s="10"/>
      <c r="I17" s="5"/>
      <c r="J17" s="6" t="str">
        <f>IF(B17="","",IFERROR(LOOKUP(2,1/($B$2:B16=B17),$L$2:L16),VLOOKUP(B17,Baseline!$A$2:$H$10,4,FALSE)))</f>
        <v>Australia</v>
      </c>
      <c r="K17" s="6" t="str">
        <f t="shared" si="0"/>
        <v>Scheduled</v>
      </c>
      <c r="L17" s="6" t="str">
        <f t="shared" si="1"/>
        <v>Australia</v>
      </c>
      <c r="M17" s="8">
        <f>IF(B17="","",IF(K17="Transfer",C17,IFERROR(LOOKUP(2,1/($B$2:B16=B17),$M$2:M16),VLOOKUP(B17,Baseline!$A$2:$H$10,5,FALSE))))</f>
        <v>46077</v>
      </c>
      <c r="N17" s="6">
        <f>IF(B17="","",IF(K17="Transfer",0,IFERROR(LOOKUP(2,1/($B$2:B16=B17),$N$2:N16),VLOOKUP(B17,Baseline!$A$2:$H$10,6,FALSE))+IF(K17="Defence",1,0)))</f>
        <v>7</v>
      </c>
      <c r="O17" s="6">
        <f>IF(B17="","",IFERROR(LOOKUP(2,1/($B$2:B16=B17),$O$2:O16),VLOOKUP(B17,Baseline!$A$2:$H$10,7,FALSE))+IF(K17="Transfer",1,0))</f>
        <v>120</v>
      </c>
      <c r="P17" s="6">
        <f>IF(B17="","",IFERROR(LOOKUP(2,1/($B$2:B16=B17),$P$2:P16),VLOOKUP(B17,Baseline!$A$2:$H$10,8,FALSE))+IF(K17="Defence",1,0))</f>
        <v>253</v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99</v>
      </c>
      <c r="C1" s="1" t="s">
        <v>100</v>
      </c>
      <c r="D1" s="1" t="s">
        <v>25</v>
      </c>
      <c r="E1" s="1" t="s">
        <v>26</v>
      </c>
      <c r="F1" s="1" t="s">
        <v>27</v>
      </c>
      <c r="G1" s="1" t="s">
        <v>101</v>
      </c>
      <c r="H1" s="1" t="s">
        <v>102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214</v>
      </c>
      <c r="F2">
        <f>IFERROR(LOOKUP(2,1/(Updates!$B$2:$B$100=A2),Updates!$P$2:$P$100),VLOOKUP(A2,Baseline!$A$2:$H$10,8,FALSE))</f>
        <v>404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74</v>
      </c>
      <c r="G3" s="4">
        <f>IFERROR(LOOKUP(2,1/((Updates!$B$2:$B$100=A3)*(Updates!$F$2:$F$100&lt;&gt;"Completed")*(Updates!$F$2:$F$100&lt;&gt;"Cancelled")*(Updates!$F$2:$F$100&lt;&gt;"Postponed")),Updates!$C$2:$C$100),"TBD")</f>
        <v>46485</v>
      </c>
      <c r="H3" t="str">
        <f>IF(G3="TBD","TBD",IFERROR(LOOKUP(2,1/((Updates!$B$2:$B$100=A3)*(Updates!$C$2:$C$100=G3)),Updates!$D$2:$D$100),"TBD"))</f>
        <v>South Africa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46295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360</v>
      </c>
      <c r="F4">
        <f>IFERROR(LOOKUP(2,1/(Updates!$B$2:$B$100=A4),Updates!$P$2:$P$100),VLOOKUP(A4,Baseline!$A$2:$H$10,8,FALSE))</f>
        <v>600</v>
      </c>
      <c r="G4" s="4">
        <f>IFERROR(LOOKUP(2,1/((Updates!$B$2:$B$100=A4)*(Updates!$F$2:$F$100&lt;&gt;"Completed")*(Updates!$F$2:$F$100&lt;&gt;"Cancelled")*(Updates!$F$2:$F$100&lt;&gt;"Postponed")),Updates!$C$2:$C$100),"TBD")</f>
        <v>46339</v>
      </c>
      <c r="H4" t="str">
        <f>IF(G4="TBD","TBD",IFERROR(LOOKUP(2,1/((Updates!$B$2:$B$100=A4)*(Updates!$C$2:$C$100=G4)),Updates!$D$2:$D$100),"TBD"))</f>
        <v>England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7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253</v>
      </c>
      <c r="G5" s="4">
        <f>IFERROR(LOOKUP(2,1/((Updates!$B$2:$B$100=A5)*(Updates!$F$2:$F$100&lt;&gt;"Completed")*(Updates!$F$2:$F$100&lt;&gt;"Cancelled")*(Updates!$F$2:$F$100&lt;&gt;"Postponed")),Updates!$C$2:$C$100),"TBD")</f>
        <v>46309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214</v>
      </c>
      <c r="F2">
        <f>Dashboard!F2</f>
        <v>404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74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46295</v>
      </c>
      <c r="D4">
        <f>Dashboard!D4</f>
        <v>0</v>
      </c>
      <c r="E4">
        <f>Dashboard!E4</f>
        <v>360</v>
      </c>
      <c r="F4">
        <f>Dashboard!F4</f>
        <v>600</v>
      </c>
      <c r="G4" s="9">
        <f>Dashboard!G4</f>
        <v>46339</v>
      </c>
      <c r="H4" t="str">
        <f>Dashboard!H4</f>
        <v>England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7</v>
      </c>
      <c r="E5">
        <f>Dashboard!E5</f>
        <v>120</v>
      </c>
      <c r="F5">
        <f>Dashboard!F5</f>
        <v>253</v>
      </c>
      <c r="G5" s="9">
        <f>Dashboard!G5</f>
        <v>46309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</dc:creator>
  <cp:lastModifiedBy>C Hariharan</cp:lastModifiedBy>
  <dcterms:created xsi:type="dcterms:W3CDTF">2026-09-15T15:38:13Z</dcterms:created>
  <dcterms:modified xsi:type="dcterms:W3CDTF">2026-10-11T15:18:44Z</dcterms:modified>
</cp:coreProperties>
</file>