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71D61A04-6A66-4A3E-A651-F68B186E902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K10" i="4"/>
  <c r="P10" i="4" s="1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K6" i="4"/>
  <c r="M6" i="4" s="1"/>
  <c r="C7" i="5" s="1"/>
  <c r="C7" i="6" s="1"/>
  <c r="J6" i="4"/>
  <c r="L6" i="4" s="1"/>
  <c r="B7" i="5" s="1"/>
  <c r="B7" i="6" s="1"/>
  <c r="A6" i="4"/>
  <c r="K5" i="4"/>
  <c r="P5" i="4" s="1"/>
  <c r="F5" i="5" s="1"/>
  <c r="F5" i="6" s="1"/>
  <c r="J5" i="4"/>
  <c r="A5" i="4"/>
  <c r="K4" i="4"/>
  <c r="P4" i="4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L10" i="4" l="1"/>
  <c r="N10" i="4"/>
  <c r="M10" i="4"/>
  <c r="O10" i="4"/>
  <c r="F4" i="5"/>
  <c r="F4" i="6" s="1"/>
  <c r="O5" i="4"/>
  <c r="E5" i="5" s="1"/>
  <c r="E5" i="6" s="1"/>
  <c r="F3" i="5"/>
  <c r="F3" i="6" s="1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<sst xmlns="http://schemas.openxmlformats.org/spreadsheetml/2006/main" count="180" uniqueCount="120">
  <si>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</si>
  <si>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</si>
  <si>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</si>
  <si>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</si>
  <si>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</si>
  <si>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</si>
  <si>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</si>
  <si>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</si>
  <si>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</si>
  <si>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</si>
  <si>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</si>
  <si>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</si>
  <si>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</si>
  <si>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</si>
  <si>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</si>
  <si>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</si>
  <si>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</si>
  <si>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</si>
  <si>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</si>
  <si>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</si>
  <si>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</si>
  <si>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</si>
  <si>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</si>
  <si>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</si>
  <si>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</si>
  <si>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</si>
  <si>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</si>
  <si>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</si>
  <si>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</si>
  <si>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</si>
  <si>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</si>
  <si>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</si>
  <si>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</si>
  <si>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</si>
  <si>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</si>
  <si>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</si>
  <si>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</si>
  <si>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</si>
  <si>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</si>
  <si>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</si>
  <si>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</si>
  <si>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</si>
  <si>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</si>
  <si>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</si>
  <si>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</si>
  <si>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</si>
  <si>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</si>
  <si>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</si>
  <si>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</si>
  <si>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</si>
  <si>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</si>
  <si>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</si>
  <si>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</si>
  <si>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</si>
  <si>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</si>
  <si>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</si>
  <si>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</si>
  <si>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</si>
  <si>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</si>
  <si>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</si>
  <si>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</si>
  <si>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</si>
  <si>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</si>
  <si>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</si>
  <si>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</si>
  <si>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</si>
  <si>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</si>
  <si>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</si>
  <si>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</si>
  <si>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</si>
  <si>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</si>
  <si>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</si>
  <si>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</si>
  <si>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</si>
  <si>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</si>
  <si>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</si>
  <si>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</si>
  <si>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</si>
  <si>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</si>
  <si>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</si>
  <si>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</si>
  <si>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</si>
  <si>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</si>
  <si>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</si>
  <si>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</si>
  <si>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</si>
  <si>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</si>
  <si>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</si>
  <si>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</si>
  <si>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</si>
  <si>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</si>
  <si>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</si>
  <si>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</si>
  <si>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</si>
  <si>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</si>
  <si>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</si>
  <si>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</si>
  <si>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</si>
  <si>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</si>
  <si>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</si>
  <si>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</si>
  <si>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</si>
  <si>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</si>
  <si>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</si>
  <si>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</si>
  <si>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</si>
  <si>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</si>
  <si>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</si>
  <si>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</si>
  <si>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</si>
  <si>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</si>
  <si>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</si>
  <si>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</si>
  <si>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</si>
  <si>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</si>
  <si>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</si>
  <si>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Senwes Park, Potchesfstroom</t>
  </si>
  <si>
    <t>ZImbabwe win by 10 wickets</t>
  </si>
  <si>
    <t>ireland</t>
  </si>
  <si>
    <t>zimbabwe win by 5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</si>
</sst>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112</v>
      </c>
      <c r="B9" s="3" t="s">
        <v>113</v>
      </c>
      <c r="C9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9"/>
  <sheetViews>
    <sheetView tabSelected="1" workbookViewId="0">
      <selection activeCell="H17" sqref="H17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115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2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116</v>
      </c>
      <c r="F3" s="5" t="s">
        <v>57</v>
      </c>
      <c r="G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89</v>
      </c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90</v>
      </c>
      <c r="E4" s="5" t="s">
        <v>91</v>
      </c>
      <c r="F4" s="5" t="s">
        <v>63</v>
      </c>
      <c r="G4" s="5" t="s">
        <v>61</v>
      </c>
      <c r="H4" s="10" t="s">
        <v>117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Transfer</v>
      </c>
      <c r="L4" s="6" t="str">
        <f t="shared" si="1"/>
        <v>Zimbabwe</v>
      </c>
      <c r="M4" s="8">
        <f>IF(B4="","",IF(K4="INVALID — CHECK RESULT TYPE","",IF(K4="Transfer",IF(R4&lt;&gt;"",R4,C4),IFERROR(LOOKUP(2,1/($B$2:B3=B4),$M$2:M3),VLOOKUP(B4,Baseline!$A$2:$H$10,5,FALSE)))))</f>
        <v>46280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359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92</v>
      </c>
      <c r="E5" s="5" t="s">
        <v>93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94</v>
      </c>
      <c r="E6" s="5" t="s">
        <v>95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96</v>
      </c>
      <c r="E7" s="5"/>
      <c r="F7" s="5" t="s">
        <v>63</v>
      </c>
      <c r="G7" s="5" t="s">
        <v>58</v>
      </c>
      <c r="H7" s="11" t="s">
        <v>97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98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99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JEJ-20261231-01</v>
      </c>
      <c r="B10" s="5" t="s">
        <v>35</v>
      </c>
      <c r="C10" s="7">
        <v>46387</v>
      </c>
      <c r="D10" s="5" t="s">
        <v>118</v>
      </c>
      <c r="E10" s="5"/>
      <c r="F10" s="5" t="s">
        <v>63</v>
      </c>
      <c r="G10" s="5" t="s">
        <v>58</v>
      </c>
      <c r="H10" s="10" t="s">
        <v>119</v>
      </c>
      <c r="I10" s="5"/>
      <c r="J10" s="6" t="str">
        <f>IF(B10="","",IFERROR(LOOKUP(2,1/($B$2:B9=B10),$L$2:L9),VLOOKUP(B10,Baseline!$A$2:$H$10,4,FALSE)))</f>
        <v>Zimbabwe</v>
      </c>
      <c r="K10" s="6" t="str">
        <f t="shared" si="0"/>
        <v>Defence</v>
      </c>
      <c r="L10" s="6" t="str">
        <f t="shared" si="1"/>
        <v>Zimbabwe</v>
      </c>
      <c r="M10" s="8">
        <f>IF(B10="","",IF(K10="Transfer",C10,IFERROR(LOOKUP(2,1/($B$2:B9=B10),$M$2:M9),VLOOKUP(B10,Baseline!$A$2:$H$10,5,FALSE))))</f>
        <v>46280</v>
      </c>
      <c r="N10" s="6">
        <f>IF(B10="","",IF(K10="Transfer",0,IFERROR(LOOKUP(2,1/($B$2:B9=B10),$N$2:N9),VLOOKUP(B10,Baseline!$A$2:$H$10,6,FALSE))+IF(K10="Defence",1,0)))</f>
        <v>1</v>
      </c>
      <c r="O10" s="6">
        <f>IF(B10="","",IFERROR(LOOKUP(2,1/($B$2:B9=B10),$O$2:O9),VLOOKUP(B10,Baseline!$A$2:$H$10,7,FALSE))+IF(K10="Transfer",1,0))</f>
        <v>359</v>
      </c>
      <c r="P10" s="6">
        <f>IF(B10="","",IFERROR(LOOKUP(2,1/($B$2:B9=B10),$P$2:P9),VLOOKUP(B10,Baseline!$A$2:$H$10,8,FALSE))+IF(K10="Defence",1,0))</f>
        <v>597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</sheetData>
  <conditionalFormatting sqref="K2:K99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100</v>
      </c>
      <c r="C1" s="1" t="s">
        <v>101</v>
      </c>
      <c r="D1" s="1" t="s">
        <v>25</v>
      </c>
      <c r="E1" s="1" t="s">
        <v>26</v>
      </c>
      <c r="F1" s="1" t="s">
        <v>27</v>
      </c>
      <c r="G1" s="1" t="s">
        <v>102</v>
      </c>
      <c r="H1" s="1" t="s">
        <v>103</v>
      </c>
    </row>
    <row r="2" spans="1:8">
      <c r="A2" t="s">
        <v>28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32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46485</v>
      </c>
      <c r="H3" t="str">
        <f>IF(G3="TBD","TBD",IFERROR(LOOKUP(2,1/((Updates!$B$2:$B$99=A3)*(Updates!$C$2:$C$99=G3)),Updates!$D$2:$D$99),"TBD"))</f>
        <v>South Africa</v>
      </c>
    </row>
    <row r="4" spans="1:8">
      <c r="A4" t="s">
        <v>35</v>
      </c>
      <c r="B4" t="str">
        <f>IFERROR(LOOKUP(2,1/(Updates!$B$2:$B$99=A4),Updates!$L$2:$L$99),VLOOKUP(A4,Baseline!$A$2:$H$10,4,FALSE))</f>
        <v>Zimbabwe</v>
      </c>
      <c r="C4" s="4">
        <f>IFERROR(LOOKUP(2,1/(Updates!$B$2:$B$99=A4),Updates!$M$2:$M$99),VLOOKUP(A4,Baseline!$A$2:$H$10,5,FALSE))</f>
        <v>46280</v>
      </c>
      <c r="D4">
        <f>IFERROR(LOOKUP(2,1/(Updates!$B$2:$B$99=A4),Updates!$N$2:$N$99),VLOOKUP(A4,Baseline!$A$2:$H$10,6,FALSE))</f>
        <v>1</v>
      </c>
      <c r="E4">
        <f>IFERROR(LOOKUP(2,1/(Updates!$B$2:$B$99=A4),Updates!$O$2:$O$99),VLOOKUP(A4,Baseline!$A$2:$H$10,7,FALSE))</f>
        <v>359</v>
      </c>
      <c r="F4">
        <f>IFERROR(LOOKUP(2,1/(Updates!$B$2:$B$99=A4),Updates!$P$2:$P$99),VLOOKUP(A4,Baseline!$A$2:$H$10,8,FALSE))</f>
        <v>597</v>
      </c>
      <c r="G4" s="4" t="str">
        <f>IFERROR(LOOKUP(2,1/((Updates!$B$2:$B$99=A4)*(Updates!$F$2:$F$99&lt;&gt;"Completed")*(Updates!$F$2:$F$99&lt;&gt;"Cancelled")*(Updates!$F$2:$F$99&lt;&gt;"Postponed")),Updates!$C$2:$C$99),"TBD")</f>
        <v>TBD</v>
      </c>
      <c r="H4" t="str">
        <f>IF(G4="TBD","TBD",IFERROR(LOOKUP(2,1/((Updates!$B$2:$B$99=A4)*(Updates!$C$2:$C$99=G4)),Updates!$D$2:$D$99),"TBD"))</f>
        <v>TBD</v>
      </c>
    </row>
    <row r="5" spans="1:8">
      <c r="A5" t="s">
        <v>37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39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42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44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47</v>
      </c>
      <c r="B9" t="str">
        <f>IFERROR(LOOKUP(2,1/(Updates!$B$2:$B$99=A9),Updates!$L$2:$L$99),VLOOKUP(A9,Baseline!$A$2:$H$10,4,FALSE))</f>
        <v>Bayern München</v>
      </c>
      <c r="C9" s="4">
        <f>IFERROR(LOOKUP(2,1/(Updates!$B$2:$B$99=A9),Updates!$M$2:$M$99),VLOOKUP(A9,Baseline!$A$2:$H$10,5,FALSE))</f>
        <v>46081</v>
      </c>
      <c r="D9">
        <f>IFERROR(LOOKUP(2,1/(Updates!$B$2:$B$99=A9),Updates!$N$2:$N$99),VLOOKUP(A9,Baseline!$A$2:$H$10,6,FALSE))</f>
        <v>11</v>
      </c>
      <c r="E9">
        <f>IFERROR(LOOKUP(2,1/(Updates!$B$2:$B$99=A9),Updates!$O$2:$O$99),VLOOKUP(A9,Baseline!$A$2:$H$10,7,FALSE))</f>
        <v>681</v>
      </c>
      <c r="F9">
        <f>IFERROR(LOOKUP(2,1/(Updates!$B$2:$B$99=A9),Updates!$P$2:$P$99),VLOOKUP(A9,Baseline!$A$2:$H$10,8,FALSE))</f>
        <v>1443</v>
      </c>
      <c r="G9" s="4">
        <f>IFERROR(LOOKUP(2,1/((Updates!$B$2:$B$99=A9)*(Updates!$F$2:$F$99&lt;&gt;"Completed")*(Updates!$F$2:$F$99&lt;&gt;"Cancelled")*(Updates!$F$2:$F$99&lt;&gt;"Postponed")),Updates!$C$2:$C$99),"TBD")</f>
        <v>46269</v>
      </c>
      <c r="H9" t="str">
        <f>IF(G9="TBD","TBD",IFERROR(LOOKUP(2,1/((Updates!$B$2:$B$99=A9)*(Updates!$C$2:$C$99=G9)),Updates!$D$2:$D$99),"TBD"))</f>
        <v>Schalke FC</v>
      </c>
    </row>
    <row r="10" spans="1:8">
      <c r="A10" t="s">
        <v>51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Zimbabwe</v>
      </c>
      <c r="C4" s="9">
        <f>Dashboard!C4</f>
        <v>46280</v>
      </c>
      <c r="D4">
        <f>Dashboard!D4</f>
        <v>1</v>
      </c>
      <c r="E4">
        <f>Dashboard!E4</f>
        <v>359</v>
      </c>
      <c r="F4">
        <f>Dashboard!F4</f>
        <v>597</v>
      </c>
      <c r="G4" s="9" t="str">
        <f>Dashboard!G4</f>
        <v>TBD</v>
      </c>
      <c r="H4" t="str">
        <f>Dashboard!H4</f>
        <v>TBD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2026-08-30T19:49:12Z</dcterms:modified>
</cp:coreProperties>
</file>